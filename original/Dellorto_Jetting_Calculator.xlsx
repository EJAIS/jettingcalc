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cale\Downloads\"/>
    </mc:Choice>
  </mc:AlternateContent>
  <xr:revisionPtr revIDLastSave="0" documentId="13_ncr:1_{C2B26481-986C-44B6-B123-CC3CAFEAE8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art" sheetId="1" r:id="rId1"/>
    <sheet name="Needle Data" sheetId="2" r:id="rId2"/>
    <sheet name="Calc Data 1" sheetId="3" r:id="rId3"/>
    <sheet name="Calc Data 2" sheetId="4" r:id="rId4"/>
    <sheet name="Calc Data 3" sheetId="5" r:id="rId5"/>
    <sheet name="Calc Data 4" sheetId="6" r:id="rId6"/>
    <sheet name="Calc Data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B18" i="7"/>
  <c r="B17" i="7"/>
  <c r="B16" i="7"/>
  <c r="B15" i="7"/>
  <c r="B6" i="7"/>
  <c r="B3" i="7"/>
  <c r="B2" i="7"/>
  <c r="B1" i="7"/>
  <c r="B13" i="7" s="1"/>
  <c r="B14" i="7" s="1"/>
  <c r="B18" i="6"/>
  <c r="B17" i="6"/>
  <c r="B16" i="6"/>
  <c r="B15" i="6"/>
  <c r="B6" i="6"/>
  <c r="B3" i="6"/>
  <c r="B2" i="6"/>
  <c r="B1" i="6"/>
  <c r="B12" i="6" s="1"/>
  <c r="B18" i="5"/>
  <c r="B17" i="5"/>
  <c r="B16" i="5"/>
  <c r="B15" i="5"/>
  <c r="B6" i="5"/>
  <c r="B3" i="5"/>
  <c r="B2" i="5"/>
  <c r="B1" i="5"/>
  <c r="B8" i="5" s="1"/>
  <c r="B18" i="4"/>
  <c r="B17" i="4"/>
  <c r="B16" i="4"/>
  <c r="B15" i="4"/>
  <c r="B6" i="4"/>
  <c r="B3" i="4"/>
  <c r="B2" i="4"/>
  <c r="B1" i="4"/>
  <c r="B8" i="4" s="1"/>
  <c r="B18" i="3"/>
  <c r="B17" i="3"/>
  <c r="B16" i="3"/>
  <c r="B15" i="3"/>
  <c r="B6" i="3"/>
  <c r="B3" i="3"/>
  <c r="B2" i="3"/>
  <c r="B1" i="3"/>
  <c r="B11" i="3" s="1"/>
  <c r="B7" i="7" l="1"/>
  <c r="B7" i="6"/>
  <c r="B31" i="6" s="1"/>
  <c r="B7" i="5"/>
  <c r="B44" i="5" s="1"/>
  <c r="B7" i="4"/>
  <c r="B47" i="4" s="1"/>
  <c r="B8" i="7"/>
  <c r="B10" i="7"/>
  <c r="B12" i="5"/>
  <c r="B12" i="7"/>
  <c r="B7" i="3"/>
  <c r="B48" i="3" s="1"/>
  <c r="B9" i="3"/>
  <c r="B10" i="3"/>
  <c r="B12" i="3"/>
  <c r="B8" i="3"/>
  <c r="B13" i="3"/>
  <c r="B11" i="4"/>
  <c r="B13" i="6"/>
  <c r="B14" i="6" s="1"/>
  <c r="B9" i="6"/>
  <c r="B8" i="6"/>
  <c r="B11" i="6"/>
  <c r="B10" i="6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C27" i="7" s="1"/>
  <c r="D27" i="7" s="1"/>
  <c r="E27" i="7" s="1"/>
  <c r="B26" i="7"/>
  <c r="B25" i="7"/>
  <c r="C25" i="7" s="1"/>
  <c r="D25" i="7" s="1"/>
  <c r="E25" i="7" s="1"/>
  <c r="C22" i="7"/>
  <c r="B22" i="7"/>
  <c r="B12" i="4"/>
  <c r="B13" i="4"/>
  <c r="B9" i="4"/>
  <c r="B10" i="4"/>
  <c r="B13" i="5"/>
  <c r="B9" i="5"/>
  <c r="B10" i="5"/>
  <c r="B11" i="5"/>
  <c r="B11" i="7"/>
  <c r="B9" i="7"/>
  <c r="B21" i="7" s="1"/>
  <c r="C28" i="7" l="1"/>
  <c r="D28" i="7" s="1"/>
  <c r="E28" i="7" s="1"/>
  <c r="C29" i="7"/>
  <c r="D29" i="7" s="1"/>
  <c r="E29" i="7" s="1"/>
  <c r="C30" i="7"/>
  <c r="D30" i="7" s="1"/>
  <c r="E30" i="7" s="1"/>
  <c r="B14" i="3"/>
  <c r="B22" i="3" s="1"/>
  <c r="B41" i="6"/>
  <c r="C41" i="6" s="1"/>
  <c r="D41" i="6" s="1"/>
  <c r="E41" i="6" s="1"/>
  <c r="B44" i="6"/>
  <c r="B35" i="6"/>
  <c r="C35" i="6" s="1"/>
  <c r="D35" i="6" s="1"/>
  <c r="E35" i="6" s="1"/>
  <c r="B39" i="6"/>
  <c r="B43" i="6"/>
  <c r="B26" i="6"/>
  <c r="C26" i="6" s="1"/>
  <c r="D26" i="6" s="1"/>
  <c r="E26" i="6" s="1"/>
  <c r="B38" i="6"/>
  <c r="B47" i="6"/>
  <c r="C47" i="6" s="1"/>
  <c r="D47" i="6" s="1"/>
  <c r="E47" i="6" s="1"/>
  <c r="C26" i="7"/>
  <c r="D26" i="7" s="1"/>
  <c r="E26" i="7" s="1"/>
  <c r="B28" i="6"/>
  <c r="C28" i="6" s="1"/>
  <c r="D28" i="6" s="1"/>
  <c r="E28" i="6" s="1"/>
  <c r="B25" i="6"/>
  <c r="C25" i="6" s="1"/>
  <c r="D25" i="6" s="1"/>
  <c r="E25" i="6" s="1"/>
  <c r="B46" i="6"/>
  <c r="B27" i="6"/>
  <c r="B32" i="6"/>
  <c r="B29" i="6"/>
  <c r="C29" i="6" s="1"/>
  <c r="D29" i="6" s="1"/>
  <c r="E29" i="6" s="1"/>
  <c r="B30" i="6"/>
  <c r="B36" i="6"/>
  <c r="B33" i="6"/>
  <c r="B34" i="6"/>
  <c r="B40" i="6"/>
  <c r="B37" i="6"/>
  <c r="B42" i="6"/>
  <c r="B48" i="6"/>
  <c r="C48" i="6" s="1"/>
  <c r="D48" i="6" s="1"/>
  <c r="E48" i="6" s="1"/>
  <c r="B45" i="6"/>
  <c r="B14" i="4"/>
  <c r="C22" i="4" s="1"/>
  <c r="B40" i="4"/>
  <c r="B41" i="4"/>
  <c r="B25" i="4"/>
  <c r="C25" i="4" s="1"/>
  <c r="D25" i="4" s="1"/>
  <c r="E25" i="4" s="1"/>
  <c r="B34" i="4"/>
  <c r="B35" i="4"/>
  <c r="B32" i="4"/>
  <c r="B33" i="4"/>
  <c r="B42" i="4"/>
  <c r="B26" i="4"/>
  <c r="C26" i="4" s="1"/>
  <c r="D26" i="4" s="1"/>
  <c r="E26" i="4" s="1"/>
  <c r="B46" i="4"/>
  <c r="B27" i="4"/>
  <c r="B44" i="4"/>
  <c r="B28" i="4"/>
  <c r="B45" i="4"/>
  <c r="B29" i="4"/>
  <c r="B38" i="4"/>
  <c r="B43" i="4"/>
  <c r="B36" i="4"/>
  <c r="B37" i="4"/>
  <c r="B48" i="4"/>
  <c r="B30" i="4"/>
  <c r="B31" i="4"/>
  <c r="B33" i="5"/>
  <c r="B41" i="5"/>
  <c r="B30" i="5"/>
  <c r="B32" i="5"/>
  <c r="B45" i="5"/>
  <c r="B47" i="5"/>
  <c r="B34" i="5"/>
  <c r="B26" i="5"/>
  <c r="B27" i="5"/>
  <c r="B40" i="5"/>
  <c r="B42" i="5"/>
  <c r="B37" i="5"/>
  <c r="B31" i="5"/>
  <c r="B39" i="5"/>
  <c r="B46" i="5"/>
  <c r="B43" i="5"/>
  <c r="B36" i="5"/>
  <c r="B48" i="5"/>
  <c r="B14" i="5"/>
  <c r="B22" i="5" s="1"/>
  <c r="B25" i="5"/>
  <c r="B29" i="5"/>
  <c r="B38" i="5"/>
  <c r="B35" i="5"/>
  <c r="B28" i="5"/>
  <c r="B39" i="4"/>
  <c r="B45" i="3"/>
  <c r="B28" i="3"/>
  <c r="B32" i="3"/>
  <c r="B36" i="3"/>
  <c r="B46" i="3"/>
  <c r="B39" i="3"/>
  <c r="B29" i="3"/>
  <c r="B37" i="3"/>
  <c r="B40" i="3"/>
  <c r="B41" i="3"/>
  <c r="B26" i="3"/>
  <c r="C26" i="3" s="1"/>
  <c r="D26" i="3" s="1"/>
  <c r="E26" i="3" s="1"/>
  <c r="B30" i="3"/>
  <c r="B34" i="3"/>
  <c r="B38" i="3"/>
  <c r="B44" i="3"/>
  <c r="B47" i="3"/>
  <c r="B25" i="3"/>
  <c r="C25" i="3" s="1"/>
  <c r="D25" i="3" s="1"/>
  <c r="E25" i="3" s="1"/>
  <c r="B33" i="3"/>
  <c r="B43" i="3"/>
  <c r="B27" i="3"/>
  <c r="B31" i="3"/>
  <c r="B35" i="3"/>
  <c r="B42" i="3"/>
  <c r="B22" i="6"/>
  <c r="C21" i="6"/>
  <c r="B21" i="6"/>
  <c r="C31" i="6" s="1"/>
  <c r="D31" i="6" s="1"/>
  <c r="E31" i="6" s="1"/>
  <c r="C22" i="6"/>
  <c r="C22" i="3"/>
  <c r="C21" i="7"/>
  <c r="C44" i="7" s="1"/>
  <c r="D44" i="7" s="1"/>
  <c r="E44" i="7" s="1"/>
  <c r="C41" i="7"/>
  <c r="D41" i="7" s="1"/>
  <c r="E41" i="7" s="1"/>
  <c r="C45" i="7"/>
  <c r="C42" i="7"/>
  <c r="D42" i="7" s="1"/>
  <c r="E42" i="7" s="1"/>
  <c r="C46" i="7"/>
  <c r="D46" i="7" s="1"/>
  <c r="E46" i="7" s="1"/>
  <c r="C31" i="7"/>
  <c r="D31" i="7" s="1"/>
  <c r="E31" i="7" s="1"/>
  <c r="C35" i="7"/>
  <c r="D35" i="7" s="1"/>
  <c r="E35" i="7" s="1"/>
  <c r="C39" i="7"/>
  <c r="D39" i="7" s="1"/>
  <c r="E39" i="7" s="1"/>
  <c r="C43" i="7"/>
  <c r="D43" i="7" s="1"/>
  <c r="E43" i="7" s="1"/>
  <c r="C47" i="7"/>
  <c r="D47" i="7" s="1"/>
  <c r="E47" i="7" s="1"/>
  <c r="C21" i="4" l="1"/>
  <c r="C21" i="3"/>
  <c r="B21" i="3"/>
  <c r="C39" i="3" s="1"/>
  <c r="D39" i="3" s="1"/>
  <c r="E39" i="3" s="1"/>
  <c r="B21" i="4"/>
  <c r="C46" i="4" s="1"/>
  <c r="D46" i="4" s="1"/>
  <c r="E46" i="4" s="1"/>
  <c r="B22" i="4"/>
  <c r="C45" i="6"/>
  <c r="D45" i="6" s="1"/>
  <c r="E45" i="6" s="1"/>
  <c r="C39" i="6"/>
  <c r="D39" i="6" s="1"/>
  <c r="E39" i="6" s="1"/>
  <c r="C32" i="6"/>
  <c r="D32" i="6" s="1"/>
  <c r="E32" i="6" s="1"/>
  <c r="C22" i="5"/>
  <c r="B21" i="5"/>
  <c r="C33" i="6"/>
  <c r="D33" i="6" s="1"/>
  <c r="E33" i="6" s="1"/>
  <c r="C21" i="5"/>
  <c r="C43" i="3"/>
  <c r="D43" i="3" s="1"/>
  <c r="E43" i="3" s="1"/>
  <c r="C46" i="3"/>
  <c r="D46" i="3" s="1"/>
  <c r="E46" i="3" s="1"/>
  <c r="C38" i="3"/>
  <c r="D38" i="3" s="1"/>
  <c r="E38" i="3" s="1"/>
  <c r="C44" i="6"/>
  <c r="D44" i="6" s="1"/>
  <c r="E44" i="6" s="1"/>
  <c r="C38" i="7"/>
  <c r="D38" i="7" s="1"/>
  <c r="E38" i="7" s="1"/>
  <c r="C40" i="6"/>
  <c r="D40" i="6" s="1"/>
  <c r="E40" i="6" s="1"/>
  <c r="C37" i="7"/>
  <c r="D37" i="7" s="1"/>
  <c r="E37" i="7" s="1"/>
  <c r="C27" i="6"/>
  <c r="D27" i="6" s="1"/>
  <c r="E27" i="6" s="1"/>
  <c r="C40" i="7"/>
  <c r="D40" i="7" s="1"/>
  <c r="E40" i="7" s="1"/>
  <c r="C34" i="7"/>
  <c r="D34" i="7" s="1"/>
  <c r="E34" i="7" s="1"/>
  <c r="C37" i="6"/>
  <c r="D37" i="6" s="1"/>
  <c r="E37" i="6" s="1"/>
  <c r="C38" i="6"/>
  <c r="D38" i="6" s="1"/>
  <c r="E38" i="6" s="1"/>
  <c r="C33" i="7"/>
  <c r="D33" i="7" s="1"/>
  <c r="E33" i="7" s="1"/>
  <c r="C36" i="6"/>
  <c r="D36" i="6" s="1"/>
  <c r="E36" i="6" s="1"/>
  <c r="C36" i="7"/>
  <c r="D36" i="7" s="1"/>
  <c r="E36" i="7" s="1"/>
  <c r="D45" i="7"/>
  <c r="E45" i="7" s="1"/>
  <c r="C48" i="7"/>
  <c r="D48" i="7" s="1"/>
  <c r="E48" i="7" s="1"/>
  <c r="C32" i="7"/>
  <c r="D32" i="7" s="1"/>
  <c r="E32" i="7" s="1"/>
  <c r="C30" i="6"/>
  <c r="D30" i="6" s="1"/>
  <c r="E30" i="6" s="1"/>
  <c r="C34" i="6"/>
  <c r="D34" i="6" s="1"/>
  <c r="E34" i="6" s="1"/>
  <c r="C46" i="6"/>
  <c r="D46" i="6" s="1"/>
  <c r="E46" i="6" s="1"/>
  <c r="C42" i="6"/>
  <c r="D42" i="6" s="1"/>
  <c r="E42" i="6" s="1"/>
  <c r="C43" i="6"/>
  <c r="D43" i="6" s="1"/>
  <c r="E43" i="6" s="1"/>
  <c r="C48" i="4" l="1"/>
  <c r="D48" i="4" s="1"/>
  <c r="E48" i="4" s="1"/>
  <c r="C34" i="4"/>
  <c r="D34" i="4" s="1"/>
  <c r="E34" i="4" s="1"/>
  <c r="C34" i="3"/>
  <c r="D34" i="3" s="1"/>
  <c r="E34" i="3" s="1"/>
  <c r="C33" i="3"/>
  <c r="D33" i="3" s="1"/>
  <c r="E33" i="3" s="1"/>
  <c r="C30" i="3"/>
  <c r="D30" i="3" s="1"/>
  <c r="E30" i="3" s="1"/>
  <c r="C31" i="3"/>
  <c r="D31" i="3" s="1"/>
  <c r="E31" i="3" s="1"/>
  <c r="C28" i="4"/>
  <c r="D28" i="4" s="1"/>
  <c r="E28" i="4" s="1"/>
  <c r="C29" i="3"/>
  <c r="D29" i="3" s="1"/>
  <c r="E29" i="3" s="1"/>
  <c r="C36" i="3"/>
  <c r="D36" i="3" s="1"/>
  <c r="E36" i="3" s="1"/>
  <c r="C41" i="3"/>
  <c r="D41" i="3" s="1"/>
  <c r="E41" i="3" s="1"/>
  <c r="C45" i="3"/>
  <c r="C37" i="3"/>
  <c r="D37" i="3" s="1"/>
  <c r="E37" i="3" s="1"/>
  <c r="C30" i="4"/>
  <c r="D30" i="4" s="1"/>
  <c r="E30" i="4" s="1"/>
  <c r="C32" i="3"/>
  <c r="D32" i="3" s="1"/>
  <c r="E32" i="3" s="1"/>
  <c r="C40" i="3"/>
  <c r="D40" i="3" s="1"/>
  <c r="E40" i="3" s="1"/>
  <c r="C27" i="3"/>
  <c r="D27" i="3" s="1"/>
  <c r="E27" i="3" s="1"/>
  <c r="C47" i="3"/>
  <c r="D47" i="3" s="1"/>
  <c r="E47" i="3" s="1"/>
  <c r="C28" i="3"/>
  <c r="D28" i="3" s="1"/>
  <c r="E28" i="3" s="1"/>
  <c r="C42" i="3"/>
  <c r="D42" i="3" s="1"/>
  <c r="E42" i="3" s="1"/>
  <c r="C31" i="4"/>
  <c r="D31" i="4" s="1"/>
  <c r="E31" i="4" s="1"/>
  <c r="C44" i="3"/>
  <c r="D44" i="3" s="1"/>
  <c r="E44" i="3" s="1"/>
  <c r="C48" i="3"/>
  <c r="D48" i="3" s="1"/>
  <c r="E48" i="3" s="1"/>
  <c r="C38" i="4"/>
  <c r="D38" i="4" s="1"/>
  <c r="E38" i="4" s="1"/>
  <c r="C29" i="4"/>
  <c r="D29" i="4" s="1"/>
  <c r="E29" i="4" s="1"/>
  <c r="G5" i="1"/>
  <c r="C43" i="4"/>
  <c r="D43" i="4" s="1"/>
  <c r="E43" i="4" s="1"/>
  <c r="C44" i="4"/>
  <c r="D44" i="4" s="1"/>
  <c r="E44" i="4" s="1"/>
  <c r="C35" i="3"/>
  <c r="D35" i="3" s="1"/>
  <c r="E35" i="3" s="1"/>
  <c r="C47" i="4"/>
  <c r="D47" i="4" s="1"/>
  <c r="E47" i="4" s="1"/>
  <c r="C42" i="4"/>
  <c r="D42" i="4" s="1"/>
  <c r="E42" i="4" s="1"/>
  <c r="C35" i="4"/>
  <c r="D35" i="4" s="1"/>
  <c r="E35" i="4" s="1"/>
  <c r="C41" i="4"/>
  <c r="D41" i="4" s="1"/>
  <c r="E41" i="4" s="1"/>
  <c r="C37" i="4"/>
  <c r="D37" i="4" s="1"/>
  <c r="E37" i="4" s="1"/>
  <c r="C45" i="4"/>
  <c r="D45" i="4" s="1"/>
  <c r="E45" i="4" s="1"/>
  <c r="C32" i="4"/>
  <c r="D32" i="4" s="1"/>
  <c r="E32" i="4" s="1"/>
  <c r="C39" i="4"/>
  <c r="D39" i="4" s="1"/>
  <c r="E39" i="4" s="1"/>
  <c r="C36" i="4"/>
  <c r="D36" i="4" s="1"/>
  <c r="E36" i="4" s="1"/>
  <c r="C33" i="4"/>
  <c r="D33" i="4" s="1"/>
  <c r="E33" i="4" s="1"/>
  <c r="C27" i="4"/>
  <c r="D27" i="4" s="1"/>
  <c r="E27" i="4" s="1"/>
  <c r="C40" i="4"/>
  <c r="D40" i="4" s="1"/>
  <c r="E40" i="4" s="1"/>
  <c r="C26" i="5"/>
  <c r="D26" i="5" s="1"/>
  <c r="E26" i="5" s="1"/>
  <c r="C25" i="5"/>
  <c r="D25" i="5" s="1"/>
  <c r="E25" i="5" s="1"/>
  <c r="C44" i="5"/>
  <c r="D44" i="5" s="1"/>
  <c r="E44" i="5" s="1"/>
  <c r="C37" i="5"/>
  <c r="D37" i="5" s="1"/>
  <c r="E37" i="5" s="1"/>
  <c r="C33" i="5"/>
  <c r="D33" i="5" s="1"/>
  <c r="E33" i="5" s="1"/>
  <c r="C41" i="5"/>
  <c r="D41" i="5" s="1"/>
  <c r="E41" i="5" s="1"/>
  <c r="C39" i="5"/>
  <c r="D39" i="5" s="1"/>
  <c r="E39" i="5" s="1"/>
  <c r="C46" i="5"/>
  <c r="D46" i="5" s="1"/>
  <c r="E46" i="5" s="1"/>
  <c r="C29" i="5"/>
  <c r="D29" i="5" s="1"/>
  <c r="E29" i="5" s="1"/>
  <c r="C43" i="5"/>
  <c r="D43" i="5" s="1"/>
  <c r="E43" i="5" s="1"/>
  <c r="C47" i="5"/>
  <c r="D47" i="5" s="1"/>
  <c r="E47" i="5" s="1"/>
  <c r="C31" i="5"/>
  <c r="D31" i="5" s="1"/>
  <c r="E31" i="5" s="1"/>
  <c r="C30" i="5"/>
  <c r="D30" i="5" s="1"/>
  <c r="E30" i="5" s="1"/>
  <c r="C36" i="5"/>
  <c r="D36" i="5" s="1"/>
  <c r="E36" i="5" s="1"/>
  <c r="C34" i="5"/>
  <c r="D34" i="5" s="1"/>
  <c r="E34" i="5" s="1"/>
  <c r="C48" i="5"/>
  <c r="D48" i="5" s="1"/>
  <c r="E48" i="5" s="1"/>
  <c r="C32" i="5"/>
  <c r="D32" i="5" s="1"/>
  <c r="E32" i="5" s="1"/>
  <c r="C45" i="5"/>
  <c r="D45" i="5" s="1"/>
  <c r="E45" i="5" s="1"/>
  <c r="C40" i="5"/>
  <c r="D40" i="5" s="1"/>
  <c r="E40" i="5" s="1"/>
  <c r="C35" i="5"/>
  <c r="D35" i="5" s="1"/>
  <c r="E35" i="5" s="1"/>
  <c r="C27" i="5"/>
  <c r="D27" i="5" s="1"/>
  <c r="E27" i="5" s="1"/>
  <c r="C42" i="5"/>
  <c r="D42" i="5" s="1"/>
  <c r="E42" i="5" s="1"/>
  <c r="C38" i="5"/>
  <c r="D38" i="5" s="1"/>
  <c r="E38" i="5" s="1"/>
  <c r="C28" i="5"/>
  <c r="D28" i="5" s="1"/>
  <c r="E28" i="5" s="1"/>
  <c r="D45" i="3"/>
  <c r="E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Version 1.0: initial version
Version 1.1: added Carb profile, fixed Needle Data
Version 1.2: added support for DP and DQ needle Jets
Version 1.3: added 5th setup
Version 1.4: fixed DQ needle jet and needle clip offset, added basic carb size compensation
Version 1.5: added U-Type needle support, fixed Needle Data</t>
        </r>
      </text>
    </comment>
    <comment ref="A2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program is free software; you can redistribute it and/or
modify it under the terms of the GNU General Public License
as published by the Free Software Foundation; either version 2
of the License, or (at your option) any later version.
This program is distributed in the hope that it will be useful,
but WITHOUT ANY WARRANTY; without even the implied warranty of
MERCHANTABILITY or FITNESS FOR A PARTICULAR PURPOSE.  See the
GNU General Public License for more details.
You should have received a copy of the GNU General Public License
along with this program; if not, write to the Free Software
Foundation, Inc., 51 Franklin Street, Fifth Floor, Boston, MA  02110-1301, USA.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 (1-4; where 1 is the topmost clip position)</t>
        </r>
      </text>
    </comment>
    <comment ref="A4" authorId="0" shapeId="0" xr:uid="{00000000-0006-0000-0200-000002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5" authorId="0" shapeId="0" xr:uid="{00000000-0006-0000-0200-000003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20" authorId="0" shapeId="0" xr:uid="{00000000-0006-0000-0200-000004000000}">
      <text>
        <r>
          <rPr>
            <sz val="10"/>
            <color rgb="FF000000"/>
            <rFont val="Arial"/>
            <scheme val="minor"/>
          </rPr>
          <t>Dellorto K needles have 3 tapers.
But taper number 3 is only cylindrical!
Calculations of each taper is based on y=k*x+d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 (1-4; where 1 is the topmost clip position)</t>
        </r>
      </text>
    </comment>
    <comment ref="A4" authorId="0" shapeId="0" xr:uid="{00000000-0006-0000-0300-000002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5" authorId="0" shapeId="0" xr:uid="{00000000-0006-0000-0300-000003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20" authorId="0" shapeId="0" xr:uid="{00000000-0006-0000-0300-000004000000}">
      <text>
        <r>
          <rPr>
            <sz val="10"/>
            <color rgb="FF000000"/>
            <rFont val="Arial"/>
            <scheme val="minor"/>
          </rPr>
          <t>Dellorto K needles have 3 tapers.
But taper number 3 is only cylindrical!
Calculations of each taper is based on y=k*x+d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 (1-4; where 1 is the topmost clip position)</t>
        </r>
      </text>
    </comment>
    <comment ref="A4" authorId="0" shapeId="0" xr:uid="{00000000-0006-0000-0400-000002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5" authorId="0" shapeId="0" xr:uid="{00000000-0006-0000-0400-000003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20" authorId="0" shapeId="0" xr:uid="{00000000-0006-0000-0400-000004000000}">
      <text>
        <r>
          <rPr>
            <sz val="10"/>
            <color rgb="FF000000"/>
            <rFont val="Arial"/>
            <scheme val="minor"/>
          </rPr>
          <t>Dellorto K needles have 3 tapers.
But taper number 3 is only cylindrical!
Calculations of each taper is based on y=k*x+d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500-000001000000}">
      <text>
        <r>
          <rPr>
            <sz val="10"/>
            <color rgb="FF000000"/>
            <rFont val="Arial"/>
            <scheme val="minor"/>
          </rPr>
          <t xml:space="preserve"> (1-4; where 1 is the topmost clip position)</t>
        </r>
      </text>
    </comment>
    <comment ref="A4" authorId="0" shapeId="0" xr:uid="{00000000-0006-0000-0500-000002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5" authorId="0" shapeId="0" xr:uid="{00000000-0006-0000-0500-000003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20" authorId="0" shapeId="0" xr:uid="{00000000-0006-0000-0500-000004000000}">
      <text>
        <r>
          <rPr>
            <sz val="10"/>
            <color rgb="FF000000"/>
            <rFont val="Arial"/>
            <scheme val="minor"/>
          </rPr>
          <t>Dellorto K needles have 3 tapers.
But taper number 3 is only cylindrical!
Calculations of each taper is based on y=k*x+d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 (1-4; where 1 is the topmost clip position)</t>
        </r>
      </text>
    </comment>
    <comment ref="A4" authorId="0" shapeId="0" xr:uid="{00000000-0006-0000-0600-000002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5" authorId="0" shapeId="0" xr:uid="{00000000-0006-0000-0600-000003000000}">
      <text>
        <r>
          <rPr>
            <sz val="10"/>
            <color rgb="FF000000"/>
            <rFont val="Arial"/>
            <scheme val="minor"/>
          </rPr>
          <t>Measured</t>
        </r>
      </text>
    </comment>
    <comment ref="A20" authorId="0" shapeId="0" xr:uid="{00000000-0006-0000-0600-000004000000}">
      <text>
        <r>
          <rPr>
            <sz val="10"/>
            <color rgb="FF000000"/>
            <rFont val="Arial"/>
            <scheme val="minor"/>
          </rPr>
          <t>Dellorto K needles have 3 tapers.
But taper number 3 is only cylindrical!
Calculations of each taper is based on y=k*x+d</t>
        </r>
      </text>
    </comment>
  </commentList>
</comments>
</file>

<file path=xl/sharedStrings.xml><?xml version="1.0" encoding="utf-8"?>
<sst xmlns="http://schemas.openxmlformats.org/spreadsheetml/2006/main" count="280" uniqueCount="159">
  <si>
    <t>Calculate Jetting for Dellorto Carbs, Version 1.5</t>
  </si>
  <si>
    <t>Copyright (C) 2014 GUE, Licensed under GNU General Public License (GPL) Version 2.0</t>
  </si>
  <si>
    <t>Setup</t>
  </si>
  <si>
    <t>Needle Type</t>
  </si>
  <si>
    <t>Clip Position</t>
  </si>
  <si>
    <t>Carb Size</t>
  </si>
  <si>
    <t>Needle Jet</t>
  </si>
  <si>
    <t>Type (DP,DQ,ET)</t>
  </si>
  <si>
    <t>max HD</t>
  </si>
  <si>
    <t>ND</t>
  </si>
  <si>
    <t>HD</t>
  </si>
  <si>
    <t>K24</t>
  </si>
  <si>
    <t>DQ</t>
  </si>
  <si>
    <t>DP</t>
  </si>
  <si>
    <t>K27</t>
  </si>
  <si>
    <t>U16</t>
  </si>
  <si>
    <t>Type</t>
  </si>
  <si>
    <t>a</t>
  </si>
  <si>
    <t>b</t>
  </si>
  <si>
    <t>c</t>
  </si>
  <si>
    <t>d</t>
  </si>
  <si>
    <t>e</t>
  </si>
  <si>
    <t>f</t>
  </si>
  <si>
    <t>Needle Length</t>
  </si>
  <si>
    <t>Jet Type</t>
  </si>
  <si>
    <t>Needle Offset</t>
  </si>
  <si>
    <t>K1</t>
  </si>
  <si>
    <t>K</t>
  </si>
  <si>
    <t>K2</t>
  </si>
  <si>
    <t>U</t>
  </si>
  <si>
    <t>K3</t>
  </si>
  <si>
    <t>ET</t>
  </si>
  <si>
    <t>K4</t>
  </si>
  <si>
    <t>K5</t>
  </si>
  <si>
    <t>K6</t>
  </si>
  <si>
    <t>K7</t>
  </si>
  <si>
    <t>K8</t>
  </si>
  <si>
    <t>K9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</si>
  <si>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</si>
  <si>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</si>
  <si>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</si>
  <si>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</si>
  <si>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</si>
  <si>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</si>
  <si>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</si>
  <si>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</si>
  <si>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</si>
  <si>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</si>
  <si>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</si>
  <si>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</si>
  <si>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</si>
  <si>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K25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</si>
  <si>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</si>
  <si>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</si>
  <si>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</si>
  <si>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</si>
  <si>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</si>
  <si>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</si>
  <si>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</si>
  <si>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</si>
  <si>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</si>
  <si>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</si>
  <si>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</si>
  <si>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</si>
  <si>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</si>
  <si>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</si>
  <si>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</si>
  <si>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</si>
  <si>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</si>
  <si>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</si>
  <si>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</si>
  <si>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K48</t>
  </si>
  <si>
    <t>K49</t>
  </si>
  <si>
    <t>K50</t>
  </si>
  <si>
    <t>K51</t>
  </si>
  <si>
    <t>K52</t>
  </si>
  <si>
    <t>K53</t>
  </si>
  <si>
    <t>K54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</si>
  <si>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</si>
  <si>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</si>
  <si>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</si>
  <si>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</si>
  <si>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</si>
  <si>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</si>
  <si>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</si>
  <si>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</si>
  <si>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</si>
  <si>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</si>
  <si>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</si>
  <si>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K68</t>
  </si>
  <si>
    <t>K69</t>
  </si>
  <si>
    <t>K70</t>
  </si>
  <si>
    <t>K71</t>
  </si>
  <si>
    <t>K72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</si>
  <si>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</si>
  <si>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</si>
  <si>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</si>
  <si>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</si>
  <si>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</si>
  <si>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</si>
  <si>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</si>
  <si>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</si>
  <si>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</si>
  <si>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</si>
  <si>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</si>
  <si>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</si>
  <si>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</si>
  <si>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</si>
  <si>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</si>
  <si>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</si>
  <si>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</si>
  <si>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</si>
  <si>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</si>
  <si>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K98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</si>
  <si>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</si>
  <si>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</si>
  <si>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</si>
  <si>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</si>
  <si>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</si>
  <si>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</si>
  <si>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</si>
  <si>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</si>
  <si>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</si>
  <si>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</si>
  <si>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</si>
  <si>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</si>
  <si>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</si>
  <si>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</si>
  <si>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</si>
  <si>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</si>
  <si>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</si>
  <si>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</si>
  <si>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</si>
  <si>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</si>
  <si>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</si>
  <si>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</si>
  <si>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</si>
  <si>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</si>
  <si>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Needle</t>
  </si>
  <si>
    <t>Carb Diameter</t>
  </si>
  <si>
    <t>Clip position</t>
  </si>
  <si>
    <t>Distance between clip positions</t>
  </si>
  <si>
    <t>Min distance needle is exposed at idle</t>
  </si>
  <si>
    <t>Needle length</t>
  </si>
  <si>
    <t>Needle position at idle</t>
  </si>
  <si>
    <t>tapers</t>
  </si>
  <si>
    <t>Needle Offset because of Needle JET</t>
  </si>
  <si>
    <t>taper</t>
  </si>
  <si>
    <t>k</t>
  </si>
  <si>
    <t>Throttle Position</t>
  </si>
  <si>
    <t>Needle Position</t>
  </si>
  <si>
    <t>Needle Diameter</t>
  </si>
  <si>
    <t>HD equiv.</t>
  </si>
  <si>
    <t>Overall</t>
  </si>
  <si>
    <t>#1 Simonini Grund</t>
  </si>
  <si>
    <t>#4</t>
  </si>
  <si>
    <t>#5</t>
  </si>
  <si>
    <t>#2 Simonini 6.6.23</t>
  </si>
  <si>
    <t>#3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</si>
</sst>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3333"/>
        <bgColor rgb="FFFF3333"/>
      </patternFill>
    </fill>
    <fill>
      <patternFill patternType="solid">
        <fgColor rgb="FF99FF99"/>
        <bgColor rgb="FF99FF99"/>
      </patternFill>
    </fill>
    <fill>
      <patternFill patternType="solid">
        <fgColor rgb="FFFF9999"/>
        <bgColor rgb="FFFF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164" fontId="2" fillId="2" borderId="1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de-DE" sz="1300" b="0" i="0">
                <a:solidFill>
                  <a:srgbClr val="757575"/>
                </a:solidFill>
                <a:latin typeface="Arial"/>
              </a:rPr>
              <a:t>Needle Profile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Chart!$A$5</c:f>
              <c:strCache>
                <c:ptCount val="1"/>
                <c:pt idx="0">
                  <c:v>#1 Simonini Grund</c:v>
                </c:pt>
              </c:strCache>
            </c:strRef>
          </c:tx>
          <c:spPr>
            <a:ln w="28575" cmpd="sng">
              <a:solidFill>
                <a:srgbClr val="00458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1'!$C$25:$C$45</c:f>
              <c:numCache>
                <c:formatCode>0.000</c:formatCode>
                <c:ptCount val="21"/>
                <c:pt idx="0">
                  <c:v>2.52</c:v>
                </c:pt>
                <c:pt idx="1">
                  <c:v>2.52</c:v>
                </c:pt>
                <c:pt idx="2">
                  <c:v>2.4971707317073171</c:v>
                </c:pt>
                <c:pt idx="3">
                  <c:v>2.4708292682926829</c:v>
                </c:pt>
                <c:pt idx="4">
                  <c:v>2.4444878048780487</c:v>
                </c:pt>
                <c:pt idx="5">
                  <c:v>2.4181463414634146</c:v>
                </c:pt>
                <c:pt idx="6">
                  <c:v>2.3918048780487804</c:v>
                </c:pt>
                <c:pt idx="7">
                  <c:v>2.3654634146341462</c:v>
                </c:pt>
                <c:pt idx="8">
                  <c:v>2.3391219512195125</c:v>
                </c:pt>
                <c:pt idx="9">
                  <c:v>2.3127804878048783</c:v>
                </c:pt>
                <c:pt idx="10">
                  <c:v>2.2864390243902442</c:v>
                </c:pt>
                <c:pt idx="11">
                  <c:v>2.26009756097561</c:v>
                </c:pt>
                <c:pt idx="12">
                  <c:v>2.2337560975609758</c:v>
                </c:pt>
                <c:pt idx="13">
                  <c:v>2.2074146341463416</c:v>
                </c:pt>
                <c:pt idx="14">
                  <c:v>2.1810731707317075</c:v>
                </c:pt>
                <c:pt idx="15">
                  <c:v>2.1547317073170733</c:v>
                </c:pt>
                <c:pt idx="16">
                  <c:v>2.1283902439024391</c:v>
                </c:pt>
                <c:pt idx="17">
                  <c:v>2.102048780487805</c:v>
                </c:pt>
                <c:pt idx="18">
                  <c:v>2.0757073170731708</c:v>
                </c:pt>
                <c:pt idx="19">
                  <c:v>2.0493658536585366</c:v>
                </c:pt>
                <c:pt idx="20">
                  <c:v>2.0230243902439025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5-4BF8-8C48-30ABDF48437E}"/>
            </c:ext>
          </c:extLst>
        </c:ser>
        <c:ser>
          <c:idx val="1"/>
          <c:order val="1"/>
          <c:tx>
            <c:strRef>
              <c:f>Chart!$A$6</c:f>
              <c:strCache>
                <c:ptCount val="1"/>
                <c:pt idx="0">
                  <c:v>#2 Simonini 6.6.23</c:v>
                </c:pt>
              </c:strCache>
            </c:strRef>
          </c:tx>
          <c:spPr>
            <a:ln w="28575" cmpd="sng">
              <a:solidFill>
                <a:srgbClr val="FF420E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2'!$C$25:$C$45</c:f>
              <c:numCache>
                <c:formatCode>0.000</c:formatCode>
                <c:ptCount val="21"/>
                <c:pt idx="0">
                  <c:v>2.52</c:v>
                </c:pt>
                <c:pt idx="1">
                  <c:v>2.52</c:v>
                </c:pt>
                <c:pt idx="2">
                  <c:v>2.52</c:v>
                </c:pt>
                <c:pt idx="3">
                  <c:v>2.52</c:v>
                </c:pt>
                <c:pt idx="4">
                  <c:v>2.52</c:v>
                </c:pt>
                <c:pt idx="5">
                  <c:v>2.4954146341463415</c:v>
                </c:pt>
                <c:pt idx="6">
                  <c:v>2.4690731707317073</c:v>
                </c:pt>
                <c:pt idx="7">
                  <c:v>2.4427317073170731</c:v>
                </c:pt>
                <c:pt idx="8">
                  <c:v>2.416390243902439</c:v>
                </c:pt>
                <c:pt idx="9">
                  <c:v>2.3900487804878048</c:v>
                </c:pt>
                <c:pt idx="10">
                  <c:v>2.3637073170731706</c:v>
                </c:pt>
                <c:pt idx="11">
                  <c:v>2.3373658536585364</c:v>
                </c:pt>
                <c:pt idx="12">
                  <c:v>2.3110243902439027</c:v>
                </c:pt>
                <c:pt idx="13">
                  <c:v>2.2846829268292685</c:v>
                </c:pt>
                <c:pt idx="14">
                  <c:v>2.2583414634146344</c:v>
                </c:pt>
                <c:pt idx="15">
                  <c:v>2.2320000000000002</c:v>
                </c:pt>
                <c:pt idx="16">
                  <c:v>2.205658536585366</c:v>
                </c:pt>
                <c:pt idx="17">
                  <c:v>2.1793170731707319</c:v>
                </c:pt>
                <c:pt idx="18">
                  <c:v>2.1529756097560977</c:v>
                </c:pt>
                <c:pt idx="19">
                  <c:v>2.1266341463414635</c:v>
                </c:pt>
                <c:pt idx="20">
                  <c:v>2.1002926829268294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5-4BF8-8C48-30ABDF48437E}"/>
            </c:ext>
          </c:extLst>
        </c:ser>
        <c:ser>
          <c:idx val="2"/>
          <c:order val="2"/>
          <c:tx>
            <c:strRef>
              <c:f>Chart!$A$7</c:f>
              <c:strCache>
                <c:ptCount val="1"/>
                <c:pt idx="0">
                  <c:v>#3 Test</c:v>
                </c:pt>
              </c:strCache>
            </c:strRef>
          </c:tx>
          <c:spPr>
            <a:ln w="28575" cmpd="sng">
              <a:solidFill>
                <a:srgbClr val="FFD32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3'!$C$25:$C$45</c:f>
              <c:numCache>
                <c:formatCode>0.000</c:formatCode>
                <c:ptCount val="21"/>
                <c:pt idx="0">
                  <c:v>2.52</c:v>
                </c:pt>
                <c:pt idx="1">
                  <c:v>2.52</c:v>
                </c:pt>
                <c:pt idx="2">
                  <c:v>2.52</c:v>
                </c:pt>
                <c:pt idx="3">
                  <c:v>2.52</c:v>
                </c:pt>
                <c:pt idx="4">
                  <c:v>2.52</c:v>
                </c:pt>
                <c:pt idx="5">
                  <c:v>2.4954146341463415</c:v>
                </c:pt>
                <c:pt idx="6">
                  <c:v>2.4690731707317073</c:v>
                </c:pt>
                <c:pt idx="7">
                  <c:v>2.4427317073170731</c:v>
                </c:pt>
                <c:pt idx="8">
                  <c:v>2.416390243902439</c:v>
                </c:pt>
                <c:pt idx="9">
                  <c:v>2.3900487804878048</c:v>
                </c:pt>
                <c:pt idx="10">
                  <c:v>2.3637073170731706</c:v>
                </c:pt>
                <c:pt idx="11">
                  <c:v>2.3373658536585364</c:v>
                </c:pt>
                <c:pt idx="12">
                  <c:v>2.3110243902439027</c:v>
                </c:pt>
                <c:pt idx="13">
                  <c:v>2.2846829268292685</c:v>
                </c:pt>
                <c:pt idx="14">
                  <c:v>2.2583414634146344</c:v>
                </c:pt>
                <c:pt idx="15">
                  <c:v>2.2320000000000002</c:v>
                </c:pt>
                <c:pt idx="16">
                  <c:v>2.205658536585366</c:v>
                </c:pt>
                <c:pt idx="17">
                  <c:v>2.1793170731707319</c:v>
                </c:pt>
                <c:pt idx="18">
                  <c:v>2.1529756097560977</c:v>
                </c:pt>
                <c:pt idx="19">
                  <c:v>2.1266341463414635</c:v>
                </c:pt>
                <c:pt idx="20">
                  <c:v>2.1002926829268294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5-4BF8-8C48-30ABDF48437E}"/>
            </c:ext>
          </c:extLst>
        </c:ser>
        <c:ser>
          <c:idx val="3"/>
          <c:order val="3"/>
          <c:tx>
            <c:strRef>
              <c:f>Chart!$A$8</c:f>
              <c:strCache>
                <c:ptCount val="1"/>
                <c:pt idx="0">
                  <c:v>#4</c:v>
                </c:pt>
              </c:strCache>
            </c:strRef>
          </c:tx>
          <c:spPr>
            <a:ln w="28575" cmpd="sng">
              <a:solidFill>
                <a:srgbClr val="579D1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4'!$C$25:$C$45</c:f>
              <c:numCache>
                <c:formatCode>0.000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F5-4BF8-8C48-30ABDF48437E}"/>
            </c:ext>
          </c:extLst>
        </c:ser>
        <c:ser>
          <c:idx val="4"/>
          <c:order val="4"/>
          <c:tx>
            <c:strRef>
              <c:f>Chart!$A$9</c:f>
              <c:strCache>
                <c:ptCount val="1"/>
                <c:pt idx="0">
                  <c:v>#5</c:v>
                </c:pt>
              </c:strCache>
            </c:strRef>
          </c:tx>
          <c:spPr>
            <a:ln w="28575" cmpd="sng">
              <a:solidFill>
                <a:srgbClr val="7E002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5'!$C$25:$C$45</c:f>
              <c:numCache>
                <c:formatCode>0.000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F5-4BF8-8C48-30ABDF484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56608"/>
        <c:axId val="194758528"/>
      </c:lineChart>
      <c:catAx>
        <c:axId val="19475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de-DE" sz="900" b="0" i="0">
                    <a:solidFill>
                      <a:srgbClr val="000000"/>
                    </a:solidFill>
                    <a:latin typeface="Arial"/>
                  </a:rPr>
                  <a:t>&lt;&lt; Idle - Throttle Position - WOT &gt;&gt;</a:t>
                </a:r>
              </a:p>
            </c:rich>
          </c:tx>
          <c:overlay val="0"/>
        </c:title>
        <c:numFmt formatCode="#\ ?/?" sourceLinked="0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de-DE"/>
          </a:p>
        </c:txPr>
        <c:crossAx val="194758528"/>
        <c:crosses val="autoZero"/>
        <c:auto val="1"/>
        <c:lblAlgn val="ctr"/>
        <c:lblOffset val="100"/>
        <c:noMultiLvlLbl val="1"/>
      </c:catAx>
      <c:valAx>
        <c:axId val="194758528"/>
        <c:scaling>
          <c:orientation val="minMax"/>
          <c:max val="2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de-DE" sz="900" b="0" i="0">
                    <a:solidFill>
                      <a:srgbClr val="000000"/>
                    </a:solidFill>
                    <a:latin typeface="Arial"/>
                  </a:rPr>
                  <a:t>&lt;&lt; Less Fuel - Needle Diameter - More Fuel &gt;&gt;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de-DE"/>
          </a:p>
        </c:txPr>
        <c:crossAx val="1947566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de-DE" sz="1300" b="0" i="0">
                <a:solidFill>
                  <a:srgbClr val="757575"/>
                </a:solidFill>
                <a:latin typeface="Arial"/>
              </a:rPr>
              <a:t>Carb Profile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Chart!$A$5</c:f>
              <c:strCache>
                <c:ptCount val="1"/>
                <c:pt idx="0">
                  <c:v>#1 Simonini Grund</c:v>
                </c:pt>
              </c:strCache>
            </c:strRef>
          </c:tx>
          <c:spPr>
            <a:ln w="28575" cmpd="sng">
              <a:solidFill>
                <a:srgbClr val="00458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1'!$E$25:$E$45</c:f>
              <c:numCache>
                <c:formatCode>0</c:formatCode>
                <c:ptCount val="21"/>
                <c:pt idx="0">
                  <c:v>53</c:v>
                </c:pt>
                <c:pt idx="1">
                  <c:v>56.738758663147941</c:v>
                </c:pt>
                <c:pt idx="2">
                  <c:v>63.512163892218837</c:v>
                </c:pt>
                <c:pt idx="3">
                  <c:v>73.486229707387395</c:v>
                </c:pt>
                <c:pt idx="4">
                  <c:v>86.024319549704899</c:v>
                </c:pt>
                <c:pt idx="5">
                  <c:v>96.06036027508668</c:v>
                </c:pt>
                <c:pt idx="6">
                  <c:v>104.24535699879245</c:v>
                </c:pt>
                <c:pt idx="7">
                  <c:v>112.64913821363062</c:v>
                </c:pt>
                <c:pt idx="8">
                  <c:v>118.02154452992983</c:v>
                </c:pt>
                <c:pt idx="9">
                  <c:v>123.10346929429036</c:v>
                </c:pt>
                <c:pt idx="10">
                  <c:v>127.92953481293472</c:v>
                </c:pt>
                <c:pt idx="11">
                  <c:v>132.52769577986706</c:v>
                </c:pt>
                <c:pt idx="12">
                  <c:v>136.92091500604135</c:v>
                </c:pt>
                <c:pt idx="13">
                  <c:v>141.12833283776058</c:v>
                </c:pt>
                <c:pt idx="14">
                  <c:v>145.1661056829154</c:v>
                </c:pt>
                <c:pt idx="15">
                  <c:v>149.04802143881179</c:v>
                </c:pt>
                <c:pt idx="16">
                  <c:v>152.78596040411946</c:v>
                </c:pt>
                <c:pt idx="17">
                  <c:v>156.39024664120623</c:v>
                </c:pt>
                <c:pt idx="18">
                  <c:v>159.86992005530308</c:v>
                </c:pt>
                <c:pt idx="19">
                  <c:v>163.23295003945796</c:v>
                </c:pt>
                <c:pt idx="20">
                  <c:v>166.48640534524995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3-45F1-8BA9-9B9CE5E2D75D}"/>
            </c:ext>
          </c:extLst>
        </c:ser>
        <c:ser>
          <c:idx val="1"/>
          <c:order val="1"/>
          <c:tx>
            <c:strRef>
              <c:f>Chart!$A$6</c:f>
              <c:strCache>
                <c:ptCount val="1"/>
                <c:pt idx="0">
                  <c:v>#2 Simonini 6.6.23</c:v>
                </c:pt>
              </c:strCache>
            </c:strRef>
          </c:tx>
          <c:spPr>
            <a:ln w="28575" cmpd="sng">
              <a:solidFill>
                <a:srgbClr val="FF420E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2'!$E$25:$E$45</c:f>
              <c:numCache>
                <c:formatCode>0</c:formatCode>
                <c:ptCount val="21"/>
                <c:pt idx="0">
                  <c:v>53</c:v>
                </c:pt>
                <c:pt idx="1">
                  <c:v>60.642806801586218</c:v>
                </c:pt>
                <c:pt idx="2">
                  <c:v>68.285613603172408</c:v>
                </c:pt>
                <c:pt idx="3">
                  <c:v>75.928420404758612</c:v>
                </c:pt>
                <c:pt idx="4">
                  <c:v>83.571227206344844</c:v>
                </c:pt>
                <c:pt idx="5">
                  <c:v>93.265771808556764</c:v>
                </c:pt>
                <c:pt idx="6">
                  <c:v>101.65429808899806</c:v>
                </c:pt>
                <c:pt idx="7">
                  <c:v>110.24798438374356</c:v>
                </c:pt>
                <c:pt idx="8">
                  <c:v>115.90764380199919</c:v>
                </c:pt>
                <c:pt idx="9">
                  <c:v>121.24631239294483</c:v>
                </c:pt>
                <c:pt idx="10">
                  <c:v>126.30469980229374</c:v>
                </c:pt>
                <c:pt idx="11">
                  <c:v>131.11524953837755</c:v>
                </c:pt>
                <c:pt idx="12">
                  <c:v>135.70432077490378</c:v>
                </c:pt>
                <c:pt idx="13">
                  <c:v>140.09368022344358</c:v>
                </c:pt>
                <c:pt idx="14">
                  <c:v>144.30155351285194</c:v>
                </c:pt>
                <c:pt idx="15">
                  <c:v>148.3433854271905</c:v>
                </c:pt>
                <c:pt idx="16">
                  <c:v>152.23240193822409</c:v>
                </c:pt>
                <c:pt idx="17">
                  <c:v>155</c:v>
                </c:pt>
                <c:pt idx="18">
                  <c:v>155</c:v>
                </c:pt>
                <c:pt idx="19">
                  <c:v>155</c:v>
                </c:pt>
                <c:pt idx="20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F3-45F1-8BA9-9B9CE5E2D75D}"/>
            </c:ext>
          </c:extLst>
        </c:ser>
        <c:ser>
          <c:idx val="2"/>
          <c:order val="2"/>
          <c:tx>
            <c:strRef>
              <c:f>Chart!$A$7</c:f>
              <c:strCache>
                <c:ptCount val="1"/>
                <c:pt idx="0">
                  <c:v>#3 Test</c:v>
                </c:pt>
              </c:strCache>
            </c:strRef>
          </c:tx>
          <c:spPr>
            <a:ln w="28575" cmpd="sng">
              <a:solidFill>
                <a:srgbClr val="FFD32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3'!$E$25:$E$45</c:f>
              <c:numCache>
                <c:formatCode>0</c:formatCode>
                <c:ptCount val="21"/>
                <c:pt idx="0">
                  <c:v>55</c:v>
                </c:pt>
                <c:pt idx="1">
                  <c:v>61.646529403823294</c:v>
                </c:pt>
                <c:pt idx="2">
                  <c:v>68.293058807646588</c:v>
                </c:pt>
                <c:pt idx="3">
                  <c:v>74.939588211469868</c:v>
                </c:pt>
                <c:pt idx="4">
                  <c:v>81.586117615293162</c:v>
                </c:pt>
                <c:pt idx="5">
                  <c:v>90.967110691043501</c:v>
                </c:pt>
                <c:pt idx="6">
                  <c:v>99.285037888298277</c:v>
                </c:pt>
                <c:pt idx="7">
                  <c:v>107.79433222891714</c:v>
                </c:pt>
                <c:pt idx="8">
                  <c:v>113.57632628206953</c:v>
                </c:pt>
                <c:pt idx="9">
                  <c:v>119.01961295890509</c:v>
                </c:pt>
                <c:pt idx="10">
                  <c:v>124.1687448279459</c:v>
                </c:pt>
                <c:pt idx="11">
                  <c:v>129.05893483796856</c:v>
                </c:pt>
                <c:pt idx="12">
                  <c:v>133.71859510546011</c:v>
                </c:pt>
                <c:pt idx="13">
                  <c:v>138.17105065298037</c:v>
                </c:pt>
                <c:pt idx="14">
                  <c:v>142.43573409163332</c:v>
                </c:pt>
                <c:pt idx="15">
                  <c:v>146.52904149007458</c:v>
                </c:pt>
                <c:pt idx="16">
                  <c:v>150.46496004014028</c:v>
                </c:pt>
                <c:pt idx="17">
                  <c:v>154.25553781263594</c:v>
                </c:pt>
                <c:pt idx="18">
                  <c:v>155</c:v>
                </c:pt>
                <c:pt idx="19">
                  <c:v>155</c:v>
                </c:pt>
                <c:pt idx="20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F3-45F1-8BA9-9B9CE5E2D75D}"/>
            </c:ext>
          </c:extLst>
        </c:ser>
        <c:ser>
          <c:idx val="3"/>
          <c:order val="3"/>
          <c:tx>
            <c:strRef>
              <c:f>Chart!$A$8</c:f>
              <c:strCache>
                <c:ptCount val="1"/>
                <c:pt idx="0">
                  <c:v>#4</c:v>
                </c:pt>
              </c:strCache>
            </c:strRef>
          </c:tx>
          <c:spPr>
            <a:ln w="28575" cmpd="sng">
              <a:solidFill>
                <a:srgbClr val="579D1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4'!$E$25:$E$45</c:f>
              <c:numCache>
                <c:formatCode>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F3-45F1-8BA9-9B9CE5E2D75D}"/>
            </c:ext>
          </c:extLst>
        </c:ser>
        <c:ser>
          <c:idx val="4"/>
          <c:order val="4"/>
          <c:tx>
            <c:strRef>
              <c:f>Chart!$A$9</c:f>
              <c:strCache>
                <c:ptCount val="1"/>
                <c:pt idx="0">
                  <c:v>#5</c:v>
                </c:pt>
              </c:strCache>
            </c:strRef>
          </c:tx>
          <c:spPr>
            <a:ln w="28575" cmpd="sng">
              <a:solidFill>
                <a:srgbClr val="7E002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'Calc Data 5'!$A$25:$A$45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'Calc Data 5'!$E$25:$E$45</c:f>
              <c:numCache>
                <c:formatCode>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F3-45F1-8BA9-9B9CE5E2D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07296"/>
        <c:axId val="194809216"/>
      </c:lineChart>
      <c:catAx>
        <c:axId val="19480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de-DE" sz="900" b="0" i="0">
                    <a:solidFill>
                      <a:srgbClr val="000000"/>
                    </a:solidFill>
                    <a:latin typeface="Arial"/>
                  </a:rPr>
                  <a:t>&lt;&lt; Idle - Throttle Position - WOT &gt;&gt;</a:t>
                </a:r>
              </a:p>
            </c:rich>
          </c:tx>
          <c:overlay val="0"/>
        </c:title>
        <c:numFmt formatCode="#\ ?/?" sourceLinked="0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de-DE"/>
          </a:p>
        </c:txPr>
        <c:crossAx val="194809216"/>
        <c:crosses val="autoZero"/>
        <c:auto val="1"/>
        <c:lblAlgn val="ctr"/>
        <c:lblOffset val="100"/>
        <c:noMultiLvlLbl val="1"/>
      </c:catAx>
      <c:valAx>
        <c:axId val="194809216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de-DE" sz="900" b="0" i="0">
                    <a:solidFill>
                      <a:srgbClr val="000000"/>
                    </a:solidFill>
                    <a:latin typeface="Arial"/>
                  </a:rPr>
                  <a:t>&lt;&lt; Less Fuel - HD equivalent - More Fuel &gt;&gt;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de-DE"/>
          </a:p>
        </c:txPr>
        <c:crossAx val="194807296"/>
        <c:crosses val="autoZero"/>
        <c:crossBetween val="between"/>
        <c:majorUnit val="10"/>
      </c:valAx>
    </c:plotArea>
    <c:legend>
      <c:legendPos val="r"/>
      <c:overlay val="0"/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190501</xdr:colOff>
      <xdr:row>10</xdr:row>
      <xdr:rowOff>22412</xdr:rowOff>
    </xdr:from>
    <xdr:ext cx="10085294" cy="53676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184897</xdr:colOff>
      <xdr:row>7</xdr:row>
      <xdr:rowOff>52108</xdr:rowOff>
    </xdr:from>
    <xdr:ext cx="10115550" cy="5715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85" zoomScaleNormal="85" workbookViewId="0">
      <selection activeCell="M4" sqref="M4"/>
    </sheetView>
  </sheetViews>
  <sheetFormatPr baseColWidth="10" defaultColWidth="12.5703125" defaultRowHeight="15" customHeight="1" x14ac:dyDescent="0.2"/>
  <cols>
    <col min="1" max="1" width="20" bestFit="1" customWidth="1"/>
    <col min="2" max="3" width="11.5703125" customWidth="1"/>
    <col min="4" max="4" width="11.7109375" customWidth="1"/>
    <col min="5" max="5" width="11.5703125" customWidth="1"/>
    <col min="6" max="6" width="16.140625" customWidth="1"/>
    <col min="7" max="7" width="13.5703125" customWidth="1"/>
    <col min="8" max="9" width="11.5703125" customWidth="1"/>
    <col min="10" max="26" width="8.5703125" customWidth="1"/>
  </cols>
  <sheetData>
    <row r="1" spans="1:9" ht="12.7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</row>
    <row r="3" spans="1:9" ht="12.75" customHeight="1" x14ac:dyDescent="0.2"/>
    <row r="4" spans="1:9" ht="12.75" customHeight="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12.75" customHeight="1" x14ac:dyDescent="0.2">
      <c r="A5" s="1" t="s">
        <v>154</v>
      </c>
      <c r="B5" s="3" t="s">
        <v>113</v>
      </c>
      <c r="C5" s="3">
        <v>3</v>
      </c>
      <c r="D5" s="3">
        <v>30</v>
      </c>
      <c r="E5" s="3">
        <v>262</v>
      </c>
      <c r="F5" s="3" t="s">
        <v>13</v>
      </c>
      <c r="G5" s="4">
        <f>SQRT($E5^2-('Calc Data 1'!$C$45*100)^2)</f>
        <v>166.48640534524995</v>
      </c>
      <c r="H5" s="3">
        <v>53</v>
      </c>
      <c r="I5" s="3">
        <v>175</v>
      </c>
    </row>
    <row r="6" spans="1:9" ht="12.75" customHeight="1" x14ac:dyDescent="0.2">
      <c r="A6" s="1" t="s">
        <v>157</v>
      </c>
      <c r="B6" s="3" t="s">
        <v>113</v>
      </c>
      <c r="C6" s="3">
        <v>1</v>
      </c>
      <c r="D6" s="3">
        <v>30</v>
      </c>
      <c r="E6" s="3">
        <v>268</v>
      </c>
      <c r="F6" s="3" t="s">
        <v>12</v>
      </c>
      <c r="G6" s="4">
        <f>SQRT($E6^2-('Calc Data 1'!$C$45*100)^2)</f>
        <v>175.77748196166331</v>
      </c>
      <c r="H6" s="3">
        <v>53</v>
      </c>
      <c r="I6" s="3">
        <v>155</v>
      </c>
    </row>
    <row r="7" spans="1:9" ht="12.75" customHeight="1" x14ac:dyDescent="0.2">
      <c r="A7" s="1" t="s">
        <v>158</v>
      </c>
      <c r="B7" s="3" t="s">
        <v>113</v>
      </c>
      <c r="C7" s="3">
        <v>1</v>
      </c>
      <c r="D7" s="3">
        <v>30</v>
      </c>
      <c r="E7" s="3">
        <v>267</v>
      </c>
      <c r="F7" s="3" t="s">
        <v>12</v>
      </c>
      <c r="G7" s="4">
        <f>SQRT($E7^2-('Calc Data 1'!$C$45*100)^2)</f>
        <v>174.24902629507824</v>
      </c>
      <c r="H7" s="3">
        <v>55</v>
      </c>
      <c r="I7" s="3">
        <v>155</v>
      </c>
    </row>
    <row r="8" spans="1:9" ht="12.75" customHeight="1" x14ac:dyDescent="0.2">
      <c r="A8" s="1" t="s">
        <v>155</v>
      </c>
      <c r="B8" s="3"/>
      <c r="C8" s="3"/>
      <c r="D8" s="3"/>
      <c r="E8" s="3"/>
      <c r="F8" s="3"/>
      <c r="G8" s="4"/>
      <c r="H8" s="3"/>
      <c r="I8" s="3"/>
    </row>
    <row r="9" spans="1:9" ht="12.75" customHeight="1" x14ac:dyDescent="0.2">
      <c r="A9" s="1" t="s">
        <v>156</v>
      </c>
      <c r="B9" s="3"/>
      <c r="C9" s="3"/>
      <c r="D9" s="3"/>
      <c r="E9" s="3"/>
      <c r="F9" s="3"/>
      <c r="G9" s="4"/>
      <c r="H9" s="3"/>
      <c r="I9" s="3"/>
    </row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I1"/>
    <mergeCell ref="A2:I2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39" workbookViewId="0">
      <selection activeCell="C88" sqref="C88"/>
    </sheetView>
  </sheetViews>
  <sheetFormatPr baseColWidth="10" defaultColWidth="12.5703125" defaultRowHeight="15" customHeight="1" x14ac:dyDescent="0.2"/>
  <cols>
    <col min="1" max="1" width="6" customWidth="1"/>
    <col min="2" max="2" width="7.42578125" customWidth="1"/>
    <col min="3" max="3" width="6.7109375" customWidth="1"/>
    <col min="4" max="4" width="6" customWidth="1"/>
    <col min="5" max="5" width="7.42578125" customWidth="1"/>
    <col min="6" max="6" width="6.85546875" customWidth="1"/>
    <col min="7" max="7" width="7.7109375" customWidth="1"/>
    <col min="8" max="10" width="11.5703125" customWidth="1"/>
    <col min="11" max="11" width="12.7109375" customWidth="1"/>
    <col min="12" max="13" width="11.5703125" customWidth="1"/>
    <col min="14" max="14" width="11.85546875" customWidth="1"/>
    <col min="15" max="26" width="8.5703125" customWidth="1"/>
  </cols>
  <sheetData>
    <row r="1" spans="1:14" ht="12.75" customHeight="1" x14ac:dyDescent="0.2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J1" s="3" t="s">
        <v>3</v>
      </c>
      <c r="K1" s="3" t="s">
        <v>23</v>
      </c>
      <c r="L1" s="3"/>
      <c r="M1" s="3" t="s">
        <v>24</v>
      </c>
      <c r="N1" s="3" t="s">
        <v>25</v>
      </c>
    </row>
    <row r="2" spans="1:14" ht="12.75" customHeight="1" x14ac:dyDescent="0.2">
      <c r="A2" s="5" t="s">
        <v>26</v>
      </c>
      <c r="B2" s="5">
        <v>2.4500000000000002</v>
      </c>
      <c r="C2" s="5">
        <v>1.75</v>
      </c>
      <c r="D2" s="5">
        <v>37</v>
      </c>
      <c r="E2" s="6"/>
      <c r="F2" s="6"/>
      <c r="G2" s="6"/>
      <c r="J2" s="5" t="s">
        <v>27</v>
      </c>
      <c r="K2" s="5">
        <v>73.5</v>
      </c>
      <c r="M2" s="5" t="s">
        <v>13</v>
      </c>
      <c r="N2" s="5">
        <v>0</v>
      </c>
    </row>
    <row r="3" spans="1:14" ht="12.75" customHeight="1" x14ac:dyDescent="0.2">
      <c r="A3" s="5" t="s">
        <v>28</v>
      </c>
      <c r="B3" s="5">
        <v>2.4500000000000002</v>
      </c>
      <c r="C3" s="5">
        <v>1.75</v>
      </c>
      <c r="D3" s="5">
        <v>42</v>
      </c>
      <c r="J3" s="5" t="s">
        <v>29</v>
      </c>
      <c r="K3" s="5">
        <v>68</v>
      </c>
      <c r="M3" s="5" t="s">
        <v>12</v>
      </c>
      <c r="N3" s="5">
        <v>2</v>
      </c>
    </row>
    <row r="4" spans="1:14" ht="12.75" customHeight="1" x14ac:dyDescent="0.2">
      <c r="A4" s="5" t="s">
        <v>30</v>
      </c>
      <c r="B4" s="5">
        <v>2.5</v>
      </c>
      <c r="C4" s="5">
        <v>1.5</v>
      </c>
      <c r="D4" s="5">
        <v>39</v>
      </c>
      <c r="M4" s="5" t="s">
        <v>31</v>
      </c>
      <c r="N4" s="5">
        <v>2</v>
      </c>
    </row>
    <row r="5" spans="1:14" ht="12.75" customHeight="1" x14ac:dyDescent="0.2">
      <c r="A5" s="5" t="s">
        <v>32</v>
      </c>
      <c r="B5" s="5">
        <v>2.4500000000000002</v>
      </c>
      <c r="C5" s="5">
        <v>1.5</v>
      </c>
      <c r="D5" s="5">
        <v>39</v>
      </c>
    </row>
    <row r="6" spans="1:14" ht="12.75" customHeight="1" x14ac:dyDescent="0.2">
      <c r="A6" s="5" t="s">
        <v>33</v>
      </c>
      <c r="B6" s="5">
        <v>2.4500000000000002</v>
      </c>
      <c r="C6" s="5">
        <v>1.5</v>
      </c>
      <c r="D6" s="5">
        <v>37</v>
      </c>
    </row>
    <row r="7" spans="1:14" ht="12.75" customHeight="1" x14ac:dyDescent="0.2">
      <c r="A7" s="5" t="s">
        <v>34</v>
      </c>
      <c r="B7" s="5">
        <v>2.4500000000000002</v>
      </c>
      <c r="C7" s="5">
        <v>1.75</v>
      </c>
      <c r="D7" s="5">
        <v>39</v>
      </c>
    </row>
    <row r="8" spans="1:14" ht="12.75" customHeight="1" x14ac:dyDescent="0.2">
      <c r="A8" s="5" t="s">
        <v>35</v>
      </c>
      <c r="B8" s="5">
        <v>2.4500000000000002</v>
      </c>
      <c r="C8" s="5">
        <v>1.25</v>
      </c>
      <c r="D8" s="5">
        <v>39</v>
      </c>
    </row>
    <row r="9" spans="1:14" ht="12.75" customHeight="1" x14ac:dyDescent="0.2">
      <c r="A9" s="5" t="s">
        <v>36</v>
      </c>
      <c r="B9" s="5">
        <v>2.5</v>
      </c>
      <c r="C9" s="5">
        <v>1.5</v>
      </c>
      <c r="D9" s="5">
        <v>37</v>
      </c>
    </row>
    <row r="10" spans="1:14" ht="12.75" customHeight="1" x14ac:dyDescent="0.2">
      <c r="A10" s="5" t="s">
        <v>37</v>
      </c>
      <c r="B10" s="5">
        <v>2.4500000000000002</v>
      </c>
      <c r="C10" s="5">
        <v>1.5</v>
      </c>
      <c r="D10" s="5">
        <v>42</v>
      </c>
    </row>
    <row r="11" spans="1:14" ht="12.75" customHeight="1" x14ac:dyDescent="0.2">
      <c r="A11" s="5" t="s">
        <v>38</v>
      </c>
      <c r="B11" s="5">
        <v>2.5</v>
      </c>
      <c r="C11" s="5">
        <v>1.25</v>
      </c>
      <c r="D11" s="5">
        <v>39</v>
      </c>
    </row>
    <row r="12" spans="1:14" ht="12.75" customHeight="1" x14ac:dyDescent="0.2">
      <c r="A12" s="5" t="s">
        <v>39</v>
      </c>
      <c r="B12" s="5">
        <v>2.4500000000000002</v>
      </c>
      <c r="C12" s="5">
        <v>1.75</v>
      </c>
      <c r="D12" s="5">
        <v>32</v>
      </c>
    </row>
    <row r="13" spans="1:14" ht="12.75" customHeight="1" x14ac:dyDescent="0.2">
      <c r="A13" s="5" t="s">
        <v>40</v>
      </c>
      <c r="B13" s="5">
        <v>2.4500000000000002</v>
      </c>
      <c r="C13" s="5">
        <v>1.25</v>
      </c>
      <c r="D13" s="5">
        <v>36</v>
      </c>
    </row>
    <row r="14" spans="1:14" ht="12.75" customHeight="1" x14ac:dyDescent="0.2">
      <c r="A14" s="5" t="s">
        <v>41</v>
      </c>
      <c r="B14" s="5">
        <v>2.4</v>
      </c>
      <c r="C14" s="5">
        <v>1.75</v>
      </c>
      <c r="D14" s="5">
        <v>33</v>
      </c>
    </row>
    <row r="15" spans="1:14" ht="12.75" customHeight="1" x14ac:dyDescent="0.2">
      <c r="A15" s="5" t="s">
        <v>42</v>
      </c>
      <c r="B15" s="5">
        <v>2.6</v>
      </c>
      <c r="C15" s="5">
        <v>0.6</v>
      </c>
      <c r="D15" s="5">
        <v>36</v>
      </c>
    </row>
    <row r="16" spans="1:14" ht="12.75" customHeight="1" x14ac:dyDescent="0.2">
      <c r="A16" s="5" t="s">
        <v>43</v>
      </c>
      <c r="B16" s="5">
        <v>2.6</v>
      </c>
      <c r="C16" s="5">
        <v>1.75</v>
      </c>
      <c r="D16" s="5">
        <v>39</v>
      </c>
    </row>
    <row r="17" spans="1:6" ht="12.75" customHeight="1" x14ac:dyDescent="0.2">
      <c r="A17" s="5" t="s">
        <v>44</v>
      </c>
      <c r="B17" s="5">
        <v>2.42</v>
      </c>
      <c r="C17" s="5">
        <v>1.75</v>
      </c>
      <c r="D17" s="5">
        <v>40</v>
      </c>
    </row>
    <row r="18" spans="1:6" ht="12.75" customHeight="1" x14ac:dyDescent="0.2">
      <c r="A18" s="5" t="s">
        <v>45</v>
      </c>
      <c r="B18" s="5">
        <v>2.6</v>
      </c>
      <c r="C18" s="5">
        <v>1.4</v>
      </c>
      <c r="D18" s="5">
        <v>35</v>
      </c>
    </row>
    <row r="19" spans="1:6" ht="12.75" customHeight="1" x14ac:dyDescent="0.2">
      <c r="A19" s="5" t="s">
        <v>46</v>
      </c>
      <c r="B19" s="5">
        <v>2.5</v>
      </c>
      <c r="C19" s="5">
        <v>1.4</v>
      </c>
      <c r="D19" s="5">
        <v>40</v>
      </c>
    </row>
    <row r="20" spans="1:6" ht="12.75" customHeight="1" x14ac:dyDescent="0.2">
      <c r="A20" s="5" t="s">
        <v>47</v>
      </c>
      <c r="B20" s="5">
        <v>2.5</v>
      </c>
      <c r="C20" s="5">
        <v>1.4</v>
      </c>
      <c r="D20" s="5">
        <v>42</v>
      </c>
    </row>
    <row r="21" spans="1:6" ht="12.75" customHeight="1" x14ac:dyDescent="0.2">
      <c r="A21" s="5" t="s">
        <v>48</v>
      </c>
      <c r="B21" s="5">
        <v>2.5</v>
      </c>
      <c r="C21" s="5">
        <v>1.8</v>
      </c>
      <c r="D21" s="5">
        <v>38</v>
      </c>
    </row>
    <row r="22" spans="1:6" ht="12.75" customHeight="1" x14ac:dyDescent="0.2">
      <c r="A22" s="5" t="s">
        <v>49</v>
      </c>
      <c r="B22" s="5">
        <v>2.5</v>
      </c>
      <c r="C22" s="5">
        <v>1.8</v>
      </c>
      <c r="D22" s="5">
        <v>40</v>
      </c>
    </row>
    <row r="23" spans="1:6" ht="12.75" customHeight="1" x14ac:dyDescent="0.2">
      <c r="A23" s="5" t="s">
        <v>50</v>
      </c>
      <c r="B23" s="5">
        <v>2.5</v>
      </c>
      <c r="C23" s="5">
        <v>1.8</v>
      </c>
      <c r="D23" s="5">
        <v>42</v>
      </c>
    </row>
    <row r="24" spans="1:6" ht="12.75" customHeight="1" x14ac:dyDescent="0.2">
      <c r="A24" s="5" t="s">
        <v>11</v>
      </c>
      <c r="B24" s="5">
        <v>2.5</v>
      </c>
      <c r="C24" s="5">
        <v>1.2</v>
      </c>
      <c r="D24" s="5">
        <v>38</v>
      </c>
      <c r="E24" s="5">
        <v>2.13</v>
      </c>
      <c r="F24" s="5">
        <v>18</v>
      </c>
    </row>
    <row r="25" spans="1:6" ht="12.75" customHeight="1" x14ac:dyDescent="0.2">
      <c r="A25" s="5" t="s">
        <v>51</v>
      </c>
      <c r="B25" s="5">
        <v>2.5</v>
      </c>
      <c r="C25" s="5">
        <v>1</v>
      </c>
      <c r="D25" s="5">
        <v>36</v>
      </c>
      <c r="E25" s="5">
        <v>2.15</v>
      </c>
      <c r="F25" s="5">
        <v>18</v>
      </c>
    </row>
    <row r="26" spans="1:6" ht="12.75" customHeight="1" x14ac:dyDescent="0.2">
      <c r="A26" s="5" t="s">
        <v>14</v>
      </c>
      <c r="B26" s="5">
        <v>2.5</v>
      </c>
      <c r="C26" s="5">
        <v>1.8</v>
      </c>
      <c r="D26" s="5">
        <v>44</v>
      </c>
    </row>
    <row r="27" spans="1:6" ht="12.75" customHeight="1" x14ac:dyDescent="0.2">
      <c r="A27" s="5" t="s">
        <v>52</v>
      </c>
      <c r="B27" s="5">
        <v>2.5</v>
      </c>
      <c r="C27" s="5">
        <v>1.8</v>
      </c>
      <c r="D27" s="5">
        <v>41</v>
      </c>
    </row>
    <row r="28" spans="1:6" ht="12.75" customHeight="1" x14ac:dyDescent="0.2">
      <c r="A28" s="5" t="s">
        <v>53</v>
      </c>
      <c r="B28" s="5">
        <v>2.4500000000000002</v>
      </c>
      <c r="C28" s="5">
        <v>1.25</v>
      </c>
      <c r="D28" s="5">
        <v>42</v>
      </c>
    </row>
    <row r="29" spans="1:6" ht="12.75" customHeight="1" x14ac:dyDescent="0.2">
      <c r="A29" s="5" t="s">
        <v>54</v>
      </c>
      <c r="B29" s="5">
        <v>2.5</v>
      </c>
      <c r="C29" s="5">
        <v>1.4</v>
      </c>
      <c r="D29" s="5">
        <v>36</v>
      </c>
      <c r="E29" s="5">
        <v>2.15</v>
      </c>
      <c r="F29" s="5">
        <v>18</v>
      </c>
    </row>
    <row r="30" spans="1:6" ht="12.75" customHeight="1" x14ac:dyDescent="0.2">
      <c r="A30" s="5" t="s">
        <v>55</v>
      </c>
      <c r="B30" s="5">
        <v>2.4500000000000002</v>
      </c>
      <c r="C30" s="5">
        <v>1.5</v>
      </c>
      <c r="D30" s="5">
        <v>36</v>
      </c>
    </row>
    <row r="31" spans="1:6" ht="12.75" customHeight="1" x14ac:dyDescent="0.2">
      <c r="A31" s="5" t="s">
        <v>56</v>
      </c>
      <c r="B31" s="5">
        <v>2.48</v>
      </c>
      <c r="C31" s="5">
        <v>1.7</v>
      </c>
      <c r="D31" s="5">
        <v>44</v>
      </c>
    </row>
    <row r="32" spans="1:6" ht="12.75" customHeight="1" x14ac:dyDescent="0.2">
      <c r="A32" s="5" t="s">
        <v>57</v>
      </c>
      <c r="B32" s="5">
        <v>2.5</v>
      </c>
      <c r="C32" s="5">
        <v>1.8</v>
      </c>
      <c r="D32" s="5">
        <v>44</v>
      </c>
    </row>
    <row r="33" spans="1:7" ht="12.75" customHeight="1" x14ac:dyDescent="0.2">
      <c r="A33" s="5" t="s">
        <v>58</v>
      </c>
      <c r="B33" s="5">
        <v>2.5</v>
      </c>
      <c r="C33" s="5">
        <v>1.4</v>
      </c>
      <c r="D33" s="5">
        <v>40</v>
      </c>
      <c r="E33" s="5">
        <v>2.11</v>
      </c>
      <c r="F33" s="5">
        <v>18</v>
      </c>
    </row>
    <row r="34" spans="1:7" ht="12.75" customHeight="1" x14ac:dyDescent="0.2">
      <c r="A34" s="5" t="s">
        <v>59</v>
      </c>
      <c r="B34" s="5">
        <v>2.5</v>
      </c>
      <c r="C34" s="5">
        <v>1.4</v>
      </c>
      <c r="D34" s="5">
        <v>43</v>
      </c>
    </row>
    <row r="35" spans="1:7" ht="12.75" customHeight="1" x14ac:dyDescent="0.2">
      <c r="A35" s="5" t="s">
        <v>60</v>
      </c>
      <c r="B35" s="5">
        <v>2.5</v>
      </c>
      <c r="C35" s="5">
        <v>1.4</v>
      </c>
      <c r="D35" s="5">
        <v>38</v>
      </c>
      <c r="E35" s="5">
        <v>2.17</v>
      </c>
      <c r="F35" s="5">
        <v>20</v>
      </c>
    </row>
    <row r="36" spans="1:7" ht="12.75" customHeight="1" x14ac:dyDescent="0.2">
      <c r="A36" s="5" t="s">
        <v>61</v>
      </c>
      <c r="B36" s="5">
        <v>2.5</v>
      </c>
      <c r="C36" s="5">
        <v>1.4</v>
      </c>
      <c r="D36" s="5">
        <v>39</v>
      </c>
      <c r="E36" s="5">
        <v>2.12</v>
      </c>
      <c r="F36" s="5">
        <v>18</v>
      </c>
    </row>
    <row r="37" spans="1:7" ht="12.75" customHeight="1" x14ac:dyDescent="0.2">
      <c r="A37" s="5" t="s">
        <v>62</v>
      </c>
      <c r="B37" s="5">
        <v>2.5</v>
      </c>
      <c r="C37" s="5">
        <v>1.4</v>
      </c>
      <c r="D37" s="5">
        <v>38</v>
      </c>
      <c r="E37" s="5">
        <v>2.13</v>
      </c>
      <c r="F37" s="5">
        <v>18</v>
      </c>
    </row>
    <row r="38" spans="1:7" ht="12.75" customHeight="1" x14ac:dyDescent="0.2">
      <c r="A38" s="5" t="s">
        <v>63</v>
      </c>
      <c r="B38" s="5">
        <v>2.48</v>
      </c>
      <c r="C38" s="5">
        <v>1.45</v>
      </c>
      <c r="D38" s="5">
        <v>36</v>
      </c>
      <c r="E38" s="5">
        <v>2.2799999999999998</v>
      </c>
      <c r="F38" s="5">
        <v>26</v>
      </c>
    </row>
    <row r="39" spans="1:7" ht="12.75" customHeight="1" x14ac:dyDescent="0.2">
      <c r="A39" s="5" t="s">
        <v>64</v>
      </c>
      <c r="B39" s="5">
        <v>2.5</v>
      </c>
      <c r="C39" s="5">
        <v>1.4</v>
      </c>
      <c r="D39" s="5">
        <v>40</v>
      </c>
      <c r="E39" s="5">
        <v>2.1800000000000002</v>
      </c>
      <c r="F39" s="5">
        <v>22</v>
      </c>
    </row>
    <row r="40" spans="1:7" ht="12.75" customHeight="1" x14ac:dyDescent="0.2">
      <c r="A40" s="5" t="s">
        <v>65</v>
      </c>
      <c r="B40" s="5">
        <v>2.5</v>
      </c>
      <c r="C40" s="5">
        <v>1.4</v>
      </c>
      <c r="D40" s="5">
        <v>40</v>
      </c>
      <c r="E40" s="5">
        <v>2.14</v>
      </c>
      <c r="F40" s="5">
        <v>22</v>
      </c>
    </row>
    <row r="41" spans="1:7" ht="12.75" customHeight="1" x14ac:dyDescent="0.2">
      <c r="A41" s="5" t="s">
        <v>66</v>
      </c>
      <c r="B41" s="5">
        <v>2.5</v>
      </c>
      <c r="C41" s="5">
        <v>1.4</v>
      </c>
      <c r="D41" s="5">
        <v>38</v>
      </c>
      <c r="E41" s="5">
        <v>2.16</v>
      </c>
      <c r="F41" s="5">
        <v>22</v>
      </c>
    </row>
    <row r="42" spans="1:7" ht="12.75" customHeight="1" x14ac:dyDescent="0.2">
      <c r="A42" s="5" t="s">
        <v>67</v>
      </c>
      <c r="B42" s="5">
        <v>2.5</v>
      </c>
      <c r="C42" s="5">
        <v>1.4</v>
      </c>
      <c r="D42" s="5">
        <v>42</v>
      </c>
      <c r="E42" s="5">
        <v>2.16</v>
      </c>
      <c r="F42" s="5">
        <v>26</v>
      </c>
    </row>
    <row r="43" spans="1:7" ht="12.75" customHeight="1" x14ac:dyDescent="0.2">
      <c r="A43" s="5" t="s">
        <v>68</v>
      </c>
      <c r="B43" s="5">
        <v>2.5</v>
      </c>
      <c r="C43" s="5">
        <v>1.4</v>
      </c>
      <c r="D43" s="5">
        <v>39</v>
      </c>
      <c r="E43" s="5">
        <v>2.06</v>
      </c>
      <c r="F43" s="5">
        <v>20</v>
      </c>
    </row>
    <row r="44" spans="1:7" ht="12.75" customHeight="1" x14ac:dyDescent="0.2">
      <c r="A44" s="5" t="s">
        <v>69</v>
      </c>
      <c r="B44" s="5">
        <v>2.48</v>
      </c>
      <c r="C44" s="5">
        <v>1.3</v>
      </c>
      <c r="D44" s="5">
        <v>36</v>
      </c>
      <c r="E44" s="5">
        <v>2.2799999999999998</v>
      </c>
      <c r="F44" s="5">
        <v>26</v>
      </c>
    </row>
    <row r="45" spans="1:7" ht="12.75" customHeight="1" x14ac:dyDescent="0.2">
      <c r="A45" s="5" t="s">
        <v>70</v>
      </c>
      <c r="B45" s="5">
        <v>2.5</v>
      </c>
      <c r="C45" s="5">
        <v>1.4</v>
      </c>
      <c r="D45" s="5">
        <v>40</v>
      </c>
      <c r="E45" s="5">
        <v>2.15</v>
      </c>
      <c r="F45" s="5">
        <v>20</v>
      </c>
    </row>
    <row r="46" spans="1:7" ht="12.75" customHeight="1" x14ac:dyDescent="0.2">
      <c r="A46" s="5" t="s">
        <v>71</v>
      </c>
      <c r="B46" s="5">
        <v>2.48</v>
      </c>
      <c r="C46" s="5">
        <v>1.6</v>
      </c>
      <c r="D46" s="5">
        <v>36</v>
      </c>
      <c r="E46" s="5">
        <v>2.25</v>
      </c>
      <c r="F46" s="5">
        <v>25</v>
      </c>
      <c r="G46" s="5">
        <v>11</v>
      </c>
    </row>
    <row r="47" spans="1:7" ht="12.75" customHeight="1" x14ac:dyDescent="0.2">
      <c r="A47" s="5" t="s">
        <v>72</v>
      </c>
      <c r="B47" s="5">
        <v>2.5</v>
      </c>
      <c r="C47" s="5">
        <v>1.4</v>
      </c>
      <c r="D47" s="5">
        <v>39</v>
      </c>
      <c r="E47" s="5">
        <v>2.2000000000000002</v>
      </c>
      <c r="F47" s="5">
        <v>26</v>
      </c>
    </row>
    <row r="48" spans="1:7" ht="12.75" customHeight="1" x14ac:dyDescent="0.2">
      <c r="A48" s="5" t="s">
        <v>73</v>
      </c>
      <c r="B48" s="5">
        <v>2.5</v>
      </c>
      <c r="C48" s="5">
        <v>1.4</v>
      </c>
      <c r="D48" s="5">
        <v>39</v>
      </c>
      <c r="E48" s="5">
        <v>2.27</v>
      </c>
      <c r="F48" s="5">
        <v>26</v>
      </c>
    </row>
    <row r="49" spans="1:7" ht="12.75" customHeight="1" x14ac:dyDescent="0.2">
      <c r="A49" s="5" t="s">
        <v>74</v>
      </c>
      <c r="B49" s="5">
        <v>2.52</v>
      </c>
      <c r="C49" s="5">
        <v>1.4</v>
      </c>
      <c r="D49" s="5">
        <v>43</v>
      </c>
    </row>
    <row r="50" spans="1:7" ht="12.75" customHeight="1" x14ac:dyDescent="0.2">
      <c r="A50" s="5" t="s">
        <v>75</v>
      </c>
      <c r="B50" s="5">
        <v>2.5</v>
      </c>
      <c r="C50" s="5">
        <v>1.6</v>
      </c>
      <c r="D50" s="5">
        <v>36</v>
      </c>
      <c r="E50" s="5">
        <v>2.25</v>
      </c>
      <c r="F50" s="5">
        <v>25</v>
      </c>
      <c r="G50" s="5">
        <v>11</v>
      </c>
    </row>
    <row r="51" spans="1:7" ht="12.75" customHeight="1" x14ac:dyDescent="0.2">
      <c r="A51" s="5" t="s">
        <v>76</v>
      </c>
      <c r="B51" s="5">
        <v>2.52</v>
      </c>
      <c r="C51" s="5">
        <v>1.6</v>
      </c>
      <c r="D51" s="5">
        <v>36</v>
      </c>
      <c r="E51" s="5">
        <v>2.25</v>
      </c>
      <c r="F51" s="5">
        <v>25</v>
      </c>
      <c r="G51" s="5">
        <v>11</v>
      </c>
    </row>
    <row r="52" spans="1:7" ht="12.75" customHeight="1" x14ac:dyDescent="0.2">
      <c r="A52" s="5" t="s">
        <v>77</v>
      </c>
      <c r="B52" s="5">
        <v>2.4500000000000002</v>
      </c>
      <c r="C52" s="5">
        <v>1.5</v>
      </c>
      <c r="D52" s="5">
        <v>40</v>
      </c>
      <c r="E52" s="5">
        <v>2.1080000000000001</v>
      </c>
      <c r="F52" s="5">
        <v>18</v>
      </c>
    </row>
    <row r="53" spans="1:7" ht="12.75" customHeight="1" x14ac:dyDescent="0.2">
      <c r="A53" s="5" t="s">
        <v>78</v>
      </c>
      <c r="B53" s="5">
        <v>2.5</v>
      </c>
      <c r="C53" s="5">
        <v>1.2</v>
      </c>
      <c r="D53" s="5">
        <v>38</v>
      </c>
      <c r="E53" s="5">
        <v>2.17</v>
      </c>
      <c r="F53" s="5">
        <v>20</v>
      </c>
    </row>
    <row r="54" spans="1:7" ht="12.75" customHeight="1" x14ac:dyDescent="0.2">
      <c r="A54" s="5" t="s">
        <v>79</v>
      </c>
      <c r="B54" s="5">
        <v>2.5</v>
      </c>
      <c r="C54" s="5">
        <v>1.4</v>
      </c>
      <c r="D54" s="5">
        <v>37</v>
      </c>
      <c r="E54" s="5">
        <v>2.2320000000000002</v>
      </c>
      <c r="F54" s="5">
        <v>25</v>
      </c>
    </row>
    <row r="55" spans="1:7" ht="12.75" customHeight="1" x14ac:dyDescent="0.2">
      <c r="A55" s="5" t="s">
        <v>80</v>
      </c>
      <c r="B55" s="5">
        <v>2.4</v>
      </c>
      <c r="C55" s="5">
        <v>1.6</v>
      </c>
      <c r="D55" s="5">
        <v>30</v>
      </c>
      <c r="E55" s="5">
        <v>2.25</v>
      </c>
      <c r="F55" s="5">
        <v>25</v>
      </c>
      <c r="G55" s="5">
        <v>11</v>
      </c>
    </row>
    <row r="56" spans="1:7" ht="12.75" customHeight="1" x14ac:dyDescent="0.2">
      <c r="A56" s="5" t="s">
        <v>81</v>
      </c>
      <c r="B56" s="5">
        <v>2.5</v>
      </c>
      <c r="C56" s="5">
        <v>1.4</v>
      </c>
      <c r="D56" s="5">
        <v>39</v>
      </c>
      <c r="E56" s="5">
        <v>2.23</v>
      </c>
      <c r="F56" s="5">
        <v>24</v>
      </c>
    </row>
    <row r="57" spans="1:7" ht="12.75" customHeight="1" x14ac:dyDescent="0.2">
      <c r="A57" s="5" t="s">
        <v>82</v>
      </c>
      <c r="B57" s="5">
        <v>2.46</v>
      </c>
      <c r="C57" s="5">
        <v>1.6</v>
      </c>
      <c r="D57" s="5">
        <v>39</v>
      </c>
      <c r="E57" s="5">
        <v>2.13</v>
      </c>
      <c r="F57" s="5">
        <v>25</v>
      </c>
      <c r="G57" s="5">
        <v>11</v>
      </c>
    </row>
    <row r="58" spans="1:7" ht="12.75" customHeight="1" x14ac:dyDescent="0.2">
      <c r="A58" s="5" t="s">
        <v>83</v>
      </c>
      <c r="B58" s="5">
        <v>2.44</v>
      </c>
      <c r="C58" s="5">
        <v>1.6</v>
      </c>
      <c r="D58" s="5">
        <v>39</v>
      </c>
      <c r="E58" s="5">
        <v>2.13</v>
      </c>
      <c r="F58" s="5">
        <v>26</v>
      </c>
      <c r="G58" s="5">
        <v>11</v>
      </c>
    </row>
    <row r="59" spans="1:7" ht="12.75" customHeight="1" x14ac:dyDescent="0.2">
      <c r="A59" s="5" t="s">
        <v>84</v>
      </c>
      <c r="B59" s="5">
        <v>2.48</v>
      </c>
      <c r="C59" s="5">
        <v>1.6</v>
      </c>
      <c r="D59" s="5">
        <v>39</v>
      </c>
      <c r="E59" s="5">
        <v>2.13</v>
      </c>
      <c r="F59" s="5">
        <v>26</v>
      </c>
      <c r="G59" s="5">
        <v>11</v>
      </c>
    </row>
    <row r="60" spans="1:7" ht="12.75" customHeight="1" x14ac:dyDescent="0.2">
      <c r="A60" s="5" t="s">
        <v>85</v>
      </c>
      <c r="B60" s="5">
        <v>2.46</v>
      </c>
      <c r="C60" s="5">
        <v>1.6</v>
      </c>
      <c r="D60" s="5">
        <v>39</v>
      </c>
      <c r="E60" s="5">
        <v>2.1</v>
      </c>
      <c r="F60" s="5">
        <v>25</v>
      </c>
      <c r="G60" s="5">
        <v>11</v>
      </c>
    </row>
    <row r="61" spans="1:7" ht="12.75" customHeight="1" x14ac:dyDescent="0.2">
      <c r="A61" s="5" t="s">
        <v>86</v>
      </c>
      <c r="B61" s="5">
        <v>2.4500000000000002</v>
      </c>
      <c r="C61" s="5">
        <v>1.6</v>
      </c>
      <c r="D61" s="5">
        <v>39</v>
      </c>
      <c r="E61" s="5">
        <v>2.16</v>
      </c>
      <c r="F61" s="5">
        <v>25</v>
      </c>
      <c r="G61" s="5">
        <v>11</v>
      </c>
    </row>
    <row r="62" spans="1:7" ht="12.75" customHeight="1" x14ac:dyDescent="0.2">
      <c r="A62" s="5" t="s">
        <v>87</v>
      </c>
      <c r="B62" s="5">
        <v>2.44</v>
      </c>
      <c r="C62" s="5">
        <v>1.6</v>
      </c>
      <c r="D62" s="5">
        <v>39</v>
      </c>
      <c r="E62" s="5">
        <v>2.16</v>
      </c>
      <c r="F62" s="5">
        <v>25</v>
      </c>
      <c r="G62" s="5">
        <v>11</v>
      </c>
    </row>
    <row r="63" spans="1:7" ht="12.75" customHeight="1" x14ac:dyDescent="0.2">
      <c r="A63" s="5" t="s">
        <v>88</v>
      </c>
      <c r="B63" s="5">
        <v>2.44</v>
      </c>
      <c r="C63" s="5">
        <v>1.6</v>
      </c>
      <c r="D63" s="5">
        <v>39</v>
      </c>
      <c r="E63" s="5">
        <v>2.1</v>
      </c>
      <c r="F63" s="5">
        <v>25</v>
      </c>
      <c r="G63" s="5">
        <v>11</v>
      </c>
    </row>
    <row r="64" spans="1:7" ht="12.75" customHeight="1" x14ac:dyDescent="0.2">
      <c r="A64" s="5" t="s">
        <v>89</v>
      </c>
      <c r="B64" s="5">
        <v>2.42</v>
      </c>
      <c r="C64" s="5">
        <v>1.6</v>
      </c>
      <c r="D64" s="5">
        <v>39</v>
      </c>
      <c r="E64" s="5">
        <v>2.0699999999999998</v>
      </c>
      <c r="F64" s="5">
        <v>26</v>
      </c>
      <c r="G64" s="5">
        <v>11</v>
      </c>
    </row>
    <row r="65" spans="1:7" ht="12.75" customHeight="1" x14ac:dyDescent="0.2">
      <c r="A65" s="5" t="s">
        <v>90</v>
      </c>
      <c r="B65" s="5">
        <v>2.48</v>
      </c>
      <c r="C65" s="5">
        <v>1.5</v>
      </c>
      <c r="D65" s="5">
        <v>39</v>
      </c>
      <c r="E65" s="5">
        <v>2.1</v>
      </c>
      <c r="F65" s="5">
        <v>25</v>
      </c>
      <c r="G65" s="5">
        <v>11</v>
      </c>
    </row>
    <row r="66" spans="1:7" ht="12.75" customHeight="1" x14ac:dyDescent="0.2">
      <c r="A66" s="5" t="s">
        <v>91</v>
      </c>
      <c r="B66" s="5">
        <v>2.42</v>
      </c>
      <c r="C66" s="5">
        <v>1.6</v>
      </c>
      <c r="D66" s="5">
        <v>39</v>
      </c>
      <c r="E66" s="5">
        <v>2.04</v>
      </c>
      <c r="F66" s="5">
        <v>25</v>
      </c>
      <c r="G66" s="5">
        <v>11</v>
      </c>
    </row>
    <row r="67" spans="1:7" ht="12.75" customHeight="1" x14ac:dyDescent="0.2">
      <c r="A67" s="5" t="s">
        <v>92</v>
      </c>
      <c r="B67" s="5">
        <v>2.44</v>
      </c>
      <c r="C67" s="5">
        <v>1.6</v>
      </c>
      <c r="D67" s="5">
        <v>39</v>
      </c>
      <c r="E67" s="5">
        <v>2.0699999999999998</v>
      </c>
      <c r="F67" s="5">
        <v>25</v>
      </c>
      <c r="G67" s="5">
        <v>11</v>
      </c>
    </row>
    <row r="68" spans="1:7" ht="12.75" customHeight="1" x14ac:dyDescent="0.2">
      <c r="A68" s="5" t="s">
        <v>93</v>
      </c>
      <c r="B68" s="5">
        <v>2.5</v>
      </c>
      <c r="C68" s="5">
        <v>1.2</v>
      </c>
      <c r="D68" s="5">
        <v>38</v>
      </c>
      <c r="E68" s="5">
        <v>2.2000000000000002</v>
      </c>
      <c r="F68" s="5">
        <v>22</v>
      </c>
    </row>
    <row r="69" spans="1:7" ht="12.75" customHeight="1" x14ac:dyDescent="0.2">
      <c r="A69" s="5" t="s">
        <v>94</v>
      </c>
      <c r="B69" s="5">
        <v>2.46</v>
      </c>
      <c r="C69" s="5">
        <v>1.55</v>
      </c>
      <c r="D69" s="5">
        <v>39</v>
      </c>
      <c r="E69" s="5">
        <v>2.1</v>
      </c>
      <c r="F69" s="5">
        <v>25</v>
      </c>
      <c r="G69" s="5">
        <v>11</v>
      </c>
    </row>
    <row r="70" spans="1:7" ht="12.75" customHeight="1" x14ac:dyDescent="0.2">
      <c r="A70" s="5" t="s">
        <v>95</v>
      </c>
      <c r="B70" s="5">
        <v>2.46</v>
      </c>
      <c r="C70" s="5">
        <v>1.6</v>
      </c>
      <c r="D70" s="5">
        <v>39</v>
      </c>
      <c r="E70" s="5">
        <v>2.0699999999999998</v>
      </c>
      <c r="F70" s="5">
        <v>25</v>
      </c>
      <c r="G70" s="5">
        <v>11</v>
      </c>
    </row>
    <row r="71" spans="1:7" ht="12.75" customHeight="1" x14ac:dyDescent="0.2">
      <c r="A71" s="5" t="s">
        <v>96</v>
      </c>
      <c r="B71" s="5">
        <v>2.48</v>
      </c>
      <c r="C71" s="5">
        <v>1.6</v>
      </c>
      <c r="D71" s="5">
        <v>30</v>
      </c>
      <c r="E71" s="5">
        <v>2.0699999999999998</v>
      </c>
      <c r="F71" s="5">
        <v>25</v>
      </c>
      <c r="G71" s="5">
        <v>11</v>
      </c>
    </row>
    <row r="72" spans="1:7" ht="12.75" customHeight="1" x14ac:dyDescent="0.2">
      <c r="A72" s="5" t="s">
        <v>97</v>
      </c>
      <c r="B72" s="5">
        <v>2.4</v>
      </c>
      <c r="C72" s="5">
        <v>1.6</v>
      </c>
      <c r="D72" s="5">
        <v>39</v>
      </c>
      <c r="E72" s="5">
        <v>2.0699999999999998</v>
      </c>
      <c r="F72" s="5">
        <v>25</v>
      </c>
      <c r="G72" s="5">
        <v>11</v>
      </c>
    </row>
    <row r="73" spans="1:7" ht="12.75" customHeight="1" x14ac:dyDescent="0.2">
      <c r="A73" s="5" t="s">
        <v>98</v>
      </c>
      <c r="B73" s="5">
        <v>2.4</v>
      </c>
      <c r="C73" s="5">
        <v>1.6</v>
      </c>
      <c r="D73" s="5">
        <v>39</v>
      </c>
    </row>
    <row r="74" spans="1:7" ht="12.75" customHeight="1" x14ac:dyDescent="0.2">
      <c r="A74" s="5" t="s">
        <v>99</v>
      </c>
      <c r="B74" s="5">
        <v>2.44</v>
      </c>
      <c r="C74" s="5">
        <v>1.55</v>
      </c>
      <c r="D74" s="5">
        <v>39</v>
      </c>
      <c r="E74" s="5">
        <v>2.0699999999999998</v>
      </c>
      <c r="F74" s="5">
        <v>25</v>
      </c>
      <c r="G74" s="5">
        <v>11</v>
      </c>
    </row>
    <row r="75" spans="1:7" ht="12.75" customHeight="1" x14ac:dyDescent="0.2">
      <c r="A75" s="5" t="s">
        <v>100</v>
      </c>
      <c r="B75" s="5">
        <v>2.48</v>
      </c>
      <c r="C75" s="5">
        <v>1.55</v>
      </c>
      <c r="D75" s="5">
        <v>39</v>
      </c>
      <c r="E75" s="5">
        <v>2.1</v>
      </c>
      <c r="F75" s="5">
        <v>25</v>
      </c>
      <c r="G75" s="5">
        <v>11</v>
      </c>
    </row>
    <row r="76" spans="1:7" ht="12.75" customHeight="1" x14ac:dyDescent="0.2">
      <c r="A76" s="5" t="s">
        <v>101</v>
      </c>
      <c r="B76" s="5">
        <v>2.44</v>
      </c>
      <c r="C76" s="5">
        <v>1.55</v>
      </c>
      <c r="D76" s="5">
        <v>39</v>
      </c>
      <c r="E76" s="5">
        <v>2.04</v>
      </c>
      <c r="F76" s="5">
        <v>26</v>
      </c>
      <c r="G76" s="5">
        <v>11</v>
      </c>
    </row>
    <row r="77" spans="1:7" ht="12.75" customHeight="1" x14ac:dyDescent="0.2">
      <c r="A77" s="5" t="s">
        <v>102</v>
      </c>
      <c r="B77" s="5">
        <v>2.48</v>
      </c>
      <c r="C77" s="5">
        <v>1.6</v>
      </c>
      <c r="D77" s="5">
        <v>39</v>
      </c>
      <c r="E77" s="5">
        <v>2.1</v>
      </c>
      <c r="F77" s="5">
        <v>26</v>
      </c>
      <c r="G77" s="5">
        <v>11</v>
      </c>
    </row>
    <row r="78" spans="1:7" ht="12.75" customHeight="1" x14ac:dyDescent="0.2">
      <c r="A78" s="5" t="s">
        <v>103</v>
      </c>
      <c r="B78" s="5">
        <v>2.46</v>
      </c>
      <c r="C78" s="5">
        <v>1.6</v>
      </c>
      <c r="D78" s="5">
        <v>39</v>
      </c>
      <c r="E78" s="5">
        <v>2.0699999999999998</v>
      </c>
      <c r="F78" s="5">
        <v>26</v>
      </c>
      <c r="G78" s="5">
        <v>11</v>
      </c>
    </row>
    <row r="79" spans="1:7" ht="12.75" customHeight="1" x14ac:dyDescent="0.2">
      <c r="A79" s="5" t="s">
        <v>104</v>
      </c>
      <c r="B79" s="5">
        <v>2.48</v>
      </c>
      <c r="C79" s="5">
        <v>1.45</v>
      </c>
      <c r="D79" s="5">
        <v>39</v>
      </c>
      <c r="E79" s="5">
        <v>2.1</v>
      </c>
      <c r="F79" s="5">
        <v>25</v>
      </c>
      <c r="G79" s="5">
        <v>11</v>
      </c>
    </row>
    <row r="80" spans="1:7" ht="12.75" customHeight="1" x14ac:dyDescent="0.2">
      <c r="A80" s="5" t="s">
        <v>105</v>
      </c>
      <c r="B80" s="5">
        <v>2.56</v>
      </c>
      <c r="C80" s="5">
        <v>1.43</v>
      </c>
      <c r="D80" s="5">
        <v>32.4</v>
      </c>
      <c r="E80" s="5">
        <v>2.12</v>
      </c>
      <c r="F80" s="5">
        <v>16.2</v>
      </c>
    </row>
    <row r="81" spans="1:7" ht="12.75" customHeight="1" x14ac:dyDescent="0.2">
      <c r="A81" s="5" t="s">
        <v>106</v>
      </c>
      <c r="B81" s="5">
        <v>2.48</v>
      </c>
      <c r="C81" s="5">
        <v>1.5</v>
      </c>
      <c r="D81" s="5">
        <v>39</v>
      </c>
      <c r="E81" s="5">
        <v>2.0699999999999998</v>
      </c>
      <c r="F81" s="5">
        <v>25</v>
      </c>
      <c r="G81" s="5">
        <v>11</v>
      </c>
    </row>
    <row r="82" spans="1:7" ht="12.75" customHeight="1" x14ac:dyDescent="0.2">
      <c r="A82" s="5" t="s">
        <v>107</v>
      </c>
      <c r="B82" s="5">
        <v>2.5</v>
      </c>
      <c r="C82" s="5">
        <v>1.75</v>
      </c>
      <c r="D82" s="5">
        <v>42</v>
      </c>
    </row>
    <row r="83" spans="1:7" ht="12.75" customHeight="1" x14ac:dyDescent="0.2">
      <c r="A83" s="5" t="s">
        <v>108</v>
      </c>
      <c r="B83" s="5">
        <v>2.4700000000000002</v>
      </c>
      <c r="C83" s="5">
        <v>1.4</v>
      </c>
      <c r="D83" s="5">
        <v>39</v>
      </c>
      <c r="E83" s="5">
        <v>2.27</v>
      </c>
      <c r="F83" s="5">
        <v>26</v>
      </c>
    </row>
    <row r="84" spans="1:7" ht="12.75" customHeight="1" x14ac:dyDescent="0.2">
      <c r="A84" s="5" t="s">
        <v>109</v>
      </c>
      <c r="B84" s="5">
        <v>2.5</v>
      </c>
      <c r="C84" s="5">
        <v>1.6</v>
      </c>
      <c r="D84" s="5">
        <v>38</v>
      </c>
    </row>
    <row r="85" spans="1:7" ht="12.75" customHeight="1" x14ac:dyDescent="0.2">
      <c r="A85" s="5" t="s">
        <v>110</v>
      </c>
      <c r="B85" s="5">
        <v>2.5</v>
      </c>
      <c r="C85" s="5">
        <v>1.6</v>
      </c>
      <c r="D85" s="5">
        <v>40</v>
      </c>
    </row>
    <row r="86" spans="1:7" ht="12.75" customHeight="1" x14ac:dyDescent="0.2">
      <c r="A86" s="5" t="s">
        <v>111</v>
      </c>
      <c r="B86" s="5">
        <v>2.5</v>
      </c>
      <c r="C86" s="5">
        <v>1.65</v>
      </c>
      <c r="D86" s="5">
        <v>38</v>
      </c>
    </row>
    <row r="87" spans="1:7" ht="12.75" customHeight="1" x14ac:dyDescent="0.2">
      <c r="A87" s="5" t="s">
        <v>112</v>
      </c>
      <c r="B87" s="5">
        <v>2.5</v>
      </c>
      <c r="C87" s="5">
        <v>1.65</v>
      </c>
      <c r="D87" s="5">
        <v>40</v>
      </c>
    </row>
    <row r="88" spans="1:7" ht="12.75" customHeight="1" x14ac:dyDescent="0.2">
      <c r="A88" s="5" t="s">
        <v>113</v>
      </c>
      <c r="B88" s="5">
        <v>2.52</v>
      </c>
      <c r="C88" s="5">
        <v>1.8</v>
      </c>
      <c r="D88" s="5">
        <v>41</v>
      </c>
    </row>
    <row r="89" spans="1:7" ht="12.75" customHeight="1" x14ac:dyDescent="0.2">
      <c r="A89" s="5" t="s">
        <v>114</v>
      </c>
      <c r="B89" s="5">
        <v>2.46</v>
      </c>
      <c r="C89" s="5">
        <v>1.4</v>
      </c>
      <c r="D89" s="5">
        <v>40</v>
      </c>
    </row>
    <row r="90" spans="1:7" ht="12.75" customHeight="1" x14ac:dyDescent="0.2">
      <c r="A90" s="5" t="s">
        <v>115</v>
      </c>
      <c r="B90" s="5">
        <v>2.5</v>
      </c>
      <c r="C90" s="5">
        <v>1.8</v>
      </c>
      <c r="D90" s="5">
        <v>40</v>
      </c>
    </row>
    <row r="91" spans="1:7" ht="12.75" customHeight="1" x14ac:dyDescent="0.2">
      <c r="A91" s="5" t="s">
        <v>116</v>
      </c>
      <c r="B91" s="5">
        <v>2.5</v>
      </c>
      <c r="C91" s="5">
        <v>1.4</v>
      </c>
      <c r="D91" s="5">
        <v>34</v>
      </c>
    </row>
    <row r="92" spans="1:7" ht="12.75" customHeight="1" x14ac:dyDescent="0.2">
      <c r="A92" s="5" t="s">
        <v>117</v>
      </c>
      <c r="B92" s="5">
        <v>2.5</v>
      </c>
      <c r="C92" s="5">
        <v>1.4</v>
      </c>
      <c r="D92" s="5">
        <v>38</v>
      </c>
    </row>
    <row r="93" spans="1:7" ht="12.75" customHeight="1" x14ac:dyDescent="0.2">
      <c r="A93" s="5" t="s">
        <v>118</v>
      </c>
      <c r="B93" s="5">
        <v>2.5</v>
      </c>
      <c r="C93" s="5">
        <v>1.4</v>
      </c>
      <c r="D93" s="5">
        <v>40</v>
      </c>
    </row>
    <row r="94" spans="1:7" ht="12.75" customHeight="1" x14ac:dyDescent="0.2">
      <c r="A94" s="5" t="s">
        <v>119</v>
      </c>
      <c r="B94" s="5">
        <v>2.5</v>
      </c>
      <c r="C94" s="5">
        <v>1.4</v>
      </c>
      <c r="D94" s="5">
        <v>42</v>
      </c>
    </row>
    <row r="95" spans="1:7" ht="12.75" customHeight="1" x14ac:dyDescent="0.2">
      <c r="A95" s="5" t="s">
        <v>120</v>
      </c>
      <c r="B95" s="5">
        <v>2.5</v>
      </c>
      <c r="C95" s="5">
        <v>1.8</v>
      </c>
      <c r="D95" s="5">
        <v>38</v>
      </c>
    </row>
    <row r="96" spans="1:7" ht="12.75" customHeight="1" x14ac:dyDescent="0.2">
      <c r="A96" s="5" t="s">
        <v>121</v>
      </c>
      <c r="B96" s="5">
        <v>2.5</v>
      </c>
      <c r="C96" s="5">
        <v>1.8</v>
      </c>
      <c r="D96" s="5">
        <v>42</v>
      </c>
    </row>
    <row r="97" spans="1:6" ht="12.75" customHeight="1" x14ac:dyDescent="0.2">
      <c r="A97" s="5" t="s">
        <v>122</v>
      </c>
      <c r="B97" s="5">
        <v>2.48</v>
      </c>
      <c r="C97" s="5">
        <v>1</v>
      </c>
      <c r="D97" s="5">
        <v>28</v>
      </c>
      <c r="E97" s="5">
        <v>2.16</v>
      </c>
      <c r="F97" s="5">
        <v>18</v>
      </c>
    </row>
    <row r="98" spans="1:6" ht="12.75" customHeight="1" x14ac:dyDescent="0.2">
      <c r="A98" s="5" t="s">
        <v>123</v>
      </c>
      <c r="B98" s="5">
        <v>2.5</v>
      </c>
      <c r="C98" s="5">
        <v>1</v>
      </c>
      <c r="D98" s="5">
        <v>30</v>
      </c>
      <c r="E98" s="5">
        <v>2.06</v>
      </c>
      <c r="F98" s="5">
        <v>18</v>
      </c>
    </row>
    <row r="99" spans="1:6" ht="12.75" customHeight="1" x14ac:dyDescent="0.2">
      <c r="A99" s="5" t="s">
        <v>124</v>
      </c>
      <c r="B99" s="5">
        <v>2.5</v>
      </c>
      <c r="C99" s="5">
        <v>1</v>
      </c>
      <c r="D99" s="5">
        <v>28</v>
      </c>
      <c r="E99" s="5">
        <v>2.11</v>
      </c>
      <c r="F99" s="5">
        <v>16</v>
      </c>
    </row>
    <row r="100" spans="1:6" ht="12.75" customHeight="1" x14ac:dyDescent="0.2">
      <c r="A100" s="5" t="s">
        <v>125</v>
      </c>
      <c r="B100" s="5">
        <v>2.5</v>
      </c>
      <c r="C100" s="5">
        <v>1.4</v>
      </c>
      <c r="D100" s="5">
        <v>32</v>
      </c>
    </row>
    <row r="101" spans="1:6" ht="12.75" customHeight="1" x14ac:dyDescent="0.2">
      <c r="A101" s="5" t="s">
        <v>126</v>
      </c>
      <c r="B101" s="5">
        <v>2.4500000000000002</v>
      </c>
      <c r="C101" s="5">
        <v>1.2</v>
      </c>
      <c r="D101" s="5">
        <v>28</v>
      </c>
    </row>
    <row r="102" spans="1:6" ht="12.75" customHeight="1" x14ac:dyDescent="0.2">
      <c r="A102" s="5" t="s">
        <v>127</v>
      </c>
      <c r="B102" s="5">
        <v>2.48</v>
      </c>
      <c r="C102" s="5">
        <v>0.6</v>
      </c>
      <c r="D102" s="5">
        <v>28</v>
      </c>
      <c r="E102" s="5">
        <v>2.23</v>
      </c>
      <c r="F102" s="5">
        <v>18</v>
      </c>
    </row>
    <row r="103" spans="1:6" ht="12.75" customHeight="1" x14ac:dyDescent="0.2">
      <c r="A103" s="5" t="s">
        <v>128</v>
      </c>
      <c r="B103" s="5">
        <v>2.5</v>
      </c>
      <c r="C103" s="5">
        <v>1.2</v>
      </c>
      <c r="D103" s="5">
        <v>32</v>
      </c>
    </row>
    <row r="104" spans="1:6" ht="12.75" customHeight="1" x14ac:dyDescent="0.2">
      <c r="A104" s="5" t="s">
        <v>15</v>
      </c>
      <c r="B104" s="5">
        <v>2.5</v>
      </c>
      <c r="C104" s="5">
        <v>1.8</v>
      </c>
      <c r="D104" s="5">
        <v>32</v>
      </c>
    </row>
    <row r="105" spans="1:6" ht="12.75" customHeight="1" x14ac:dyDescent="0.2">
      <c r="A105" s="5" t="s">
        <v>129</v>
      </c>
      <c r="B105" s="5">
        <v>2.5</v>
      </c>
      <c r="C105" s="5">
        <v>0.6</v>
      </c>
      <c r="D105" s="5">
        <v>35</v>
      </c>
    </row>
    <row r="106" spans="1:6" ht="12.75" customHeight="1" x14ac:dyDescent="0.2">
      <c r="A106" s="5" t="s">
        <v>130</v>
      </c>
      <c r="B106" s="5">
        <v>2.48</v>
      </c>
      <c r="C106" s="5">
        <v>1</v>
      </c>
      <c r="D106" s="5">
        <v>34</v>
      </c>
    </row>
    <row r="107" spans="1:6" ht="12.75" customHeight="1" x14ac:dyDescent="0.2">
      <c r="A107" s="5" t="s">
        <v>131</v>
      </c>
      <c r="B107" s="5">
        <v>2.44</v>
      </c>
      <c r="C107" s="5">
        <v>1</v>
      </c>
      <c r="D107" s="5">
        <v>32.5</v>
      </c>
    </row>
    <row r="108" spans="1:6" ht="12.75" customHeight="1" x14ac:dyDescent="0.2">
      <c r="A108" s="5" t="s">
        <v>132</v>
      </c>
      <c r="B108" s="5">
        <v>2.44</v>
      </c>
      <c r="C108" s="5">
        <v>1</v>
      </c>
      <c r="D108" s="5">
        <v>34.5</v>
      </c>
    </row>
    <row r="109" spans="1:6" ht="12.75" customHeight="1" x14ac:dyDescent="0.2">
      <c r="A109" s="5" t="s">
        <v>133</v>
      </c>
      <c r="B109" s="5">
        <v>2.44</v>
      </c>
      <c r="C109" s="5">
        <v>1</v>
      </c>
      <c r="D109" s="5">
        <v>36</v>
      </c>
    </row>
    <row r="110" spans="1:6" ht="12.75" customHeight="1" x14ac:dyDescent="0.2">
      <c r="A110" s="5" t="s">
        <v>134</v>
      </c>
      <c r="B110" s="5">
        <v>2.5</v>
      </c>
      <c r="C110" s="5">
        <v>1</v>
      </c>
      <c r="D110" s="5">
        <v>36.5</v>
      </c>
    </row>
    <row r="111" spans="1:6" ht="12.75" customHeight="1" x14ac:dyDescent="0.2">
      <c r="A111" s="5" t="s">
        <v>135</v>
      </c>
      <c r="B111" s="5">
        <v>2.46</v>
      </c>
      <c r="C111" s="5">
        <v>1</v>
      </c>
      <c r="D111" s="5">
        <v>36.5</v>
      </c>
    </row>
    <row r="112" spans="1:6" ht="12.75" customHeight="1" x14ac:dyDescent="0.2">
      <c r="A112" s="5" t="s">
        <v>136</v>
      </c>
      <c r="B112" s="5">
        <v>2.46</v>
      </c>
      <c r="C112" s="5">
        <v>1</v>
      </c>
      <c r="D112" s="5">
        <v>34</v>
      </c>
    </row>
    <row r="113" spans="1:4" ht="12.75" customHeight="1" x14ac:dyDescent="0.2">
      <c r="A113" s="5" t="s">
        <v>137</v>
      </c>
      <c r="B113" s="5">
        <v>2.48</v>
      </c>
      <c r="C113" s="5">
        <v>1</v>
      </c>
      <c r="D113" s="5">
        <v>36.5</v>
      </c>
    </row>
    <row r="114" spans="1:4" ht="12.75" customHeight="1" x14ac:dyDescent="0.2"/>
    <row r="115" spans="1:4" ht="12.75" customHeight="1" x14ac:dyDescent="0.2"/>
    <row r="116" spans="1:4" ht="12.75" customHeight="1" x14ac:dyDescent="0.2"/>
    <row r="117" spans="1:4" ht="12.75" customHeight="1" x14ac:dyDescent="0.2"/>
    <row r="118" spans="1:4" ht="12.75" customHeight="1" x14ac:dyDescent="0.2"/>
    <row r="119" spans="1:4" ht="12.75" customHeight="1" x14ac:dyDescent="0.2"/>
    <row r="120" spans="1:4" ht="12.75" customHeight="1" x14ac:dyDescent="0.2"/>
    <row r="121" spans="1:4" ht="12.75" customHeight="1" x14ac:dyDescent="0.2"/>
    <row r="122" spans="1:4" ht="12.75" customHeight="1" x14ac:dyDescent="0.2"/>
    <row r="123" spans="1:4" ht="12.75" customHeight="1" x14ac:dyDescent="0.2"/>
    <row r="124" spans="1:4" ht="12.75" customHeight="1" x14ac:dyDescent="0.2"/>
    <row r="125" spans="1:4" ht="12.75" customHeight="1" x14ac:dyDescent="0.2"/>
    <row r="126" spans="1:4" ht="12.75" customHeight="1" x14ac:dyDescent="0.2"/>
    <row r="127" spans="1:4" ht="12.75" customHeight="1" x14ac:dyDescent="0.2"/>
    <row r="128" spans="1:4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15" sqref="D15"/>
    </sheetView>
  </sheetViews>
  <sheetFormatPr baseColWidth="10" defaultColWidth="12.5703125" defaultRowHeight="15" customHeight="1" x14ac:dyDescent="0.2"/>
  <cols>
    <col min="1" max="1" width="40.28515625" customWidth="1"/>
    <col min="2" max="2" width="18.42578125" customWidth="1"/>
    <col min="3" max="3" width="15.85546875" customWidth="1"/>
    <col min="4" max="5" width="11.5703125" customWidth="1"/>
    <col min="6" max="6" width="11.42578125" customWidth="1"/>
    <col min="7" max="26" width="8.5703125" customWidth="1"/>
  </cols>
  <sheetData>
    <row r="1" spans="1:2" ht="12.75" customHeight="1" x14ac:dyDescent="0.2">
      <c r="A1" s="1" t="s">
        <v>138</v>
      </c>
      <c r="B1" s="7" t="str">
        <f>Chart!$B$5</f>
        <v>K98</v>
      </c>
    </row>
    <row r="2" spans="1:2" ht="12.75" customHeight="1" x14ac:dyDescent="0.2">
      <c r="A2" s="1" t="s">
        <v>139</v>
      </c>
      <c r="B2" s="8">
        <f>Chart!$D$5</f>
        <v>30</v>
      </c>
    </row>
    <row r="3" spans="1:2" ht="12.75" customHeight="1" x14ac:dyDescent="0.2">
      <c r="A3" s="1" t="s">
        <v>140</v>
      </c>
      <c r="B3" s="8">
        <f>Chart!$C$5</f>
        <v>3</v>
      </c>
    </row>
    <row r="4" spans="1:2" ht="12.75" customHeight="1" x14ac:dyDescent="0.2">
      <c r="A4" s="1" t="s">
        <v>141</v>
      </c>
      <c r="B4" s="9">
        <v>1.2</v>
      </c>
    </row>
    <row r="5" spans="1:2" ht="12.75" customHeight="1" x14ac:dyDescent="0.2">
      <c r="A5" s="1" t="s">
        <v>142</v>
      </c>
      <c r="B5" s="9">
        <v>26.4</v>
      </c>
    </row>
    <row r="6" spans="1:2" ht="12.75" customHeight="1" x14ac:dyDescent="0.2">
      <c r="A6" s="1" t="s">
        <v>143</v>
      </c>
      <c r="B6" s="5">
        <f>LOOKUP(LEFT(Chart!$B$5,1),'Needle Data'!$J2:$J3,'Needle Data'!$K2:$K3)</f>
        <v>73.5</v>
      </c>
    </row>
    <row r="7" spans="1:2" ht="12.75" customHeight="1" x14ac:dyDescent="0.2">
      <c r="A7" s="1" t="s">
        <v>144</v>
      </c>
      <c r="B7" s="10">
        <f>$B$6 - $B$5 - ($B$3-1)*$B$4 + $B$18 + ($B$2 - 34)/2</f>
        <v>42.7</v>
      </c>
    </row>
    <row r="8" spans="1:2" ht="12.75" customHeight="1" x14ac:dyDescent="0.2">
      <c r="A8" s="1" t="s">
        <v>17</v>
      </c>
      <c r="B8" s="5">
        <f>VLOOKUP($B$1,'Needle Data'!$A$2:$G$113,2,0)</f>
        <v>2.52</v>
      </c>
    </row>
    <row r="9" spans="1:2" ht="12.75" customHeight="1" x14ac:dyDescent="0.2">
      <c r="A9" s="1" t="s">
        <v>18</v>
      </c>
      <c r="B9" s="5">
        <f>VLOOKUP($B$1,'Needle Data'!$A$2:$G$113,3,0)</f>
        <v>1.8</v>
      </c>
    </row>
    <row r="10" spans="1:2" ht="12.75" customHeight="1" x14ac:dyDescent="0.2">
      <c r="A10" s="1" t="s">
        <v>19</v>
      </c>
      <c r="B10" s="5">
        <f>VLOOKUP($B$1,'Needle Data'!$A$2:$G$113,4,0)</f>
        <v>41</v>
      </c>
    </row>
    <row r="11" spans="1:2" ht="12.75" customHeight="1" x14ac:dyDescent="0.2">
      <c r="A11" s="1" t="s">
        <v>20</v>
      </c>
      <c r="B11" s="5">
        <f>VLOOKUP($B$1,'Needle Data'!$A$2:$G$113,5,0)</f>
        <v>0</v>
      </c>
    </row>
    <row r="12" spans="1:2" ht="12.75" customHeight="1" x14ac:dyDescent="0.2">
      <c r="A12" s="1" t="s">
        <v>21</v>
      </c>
      <c r="B12" s="5">
        <f>VLOOKUP($B$1,'Needle Data'!$A$2:$G$113,6,0)</f>
        <v>0</v>
      </c>
    </row>
    <row r="13" spans="1:2" ht="12.75" customHeight="1" x14ac:dyDescent="0.2">
      <c r="A13" s="1" t="s">
        <v>22</v>
      </c>
      <c r="B13" s="5">
        <f>VLOOKUP($B$1,'Needle Data'!$A$2:$G$113,7,0)</f>
        <v>0</v>
      </c>
    </row>
    <row r="14" spans="1:2" ht="12.75" customHeight="1" x14ac:dyDescent="0.2">
      <c r="A14" s="1" t="s">
        <v>145</v>
      </c>
      <c r="B14" s="5">
        <f>IF($B$13,3,IF($B$12,2,1))</f>
        <v>1</v>
      </c>
    </row>
    <row r="15" spans="1:2" ht="12.75" customHeight="1" x14ac:dyDescent="0.2">
      <c r="A15" s="1" t="s">
        <v>6</v>
      </c>
      <c r="B15" s="5">
        <f>Chart!$E$5</f>
        <v>262</v>
      </c>
    </row>
    <row r="16" spans="1:2" ht="12.75" customHeight="1" x14ac:dyDescent="0.2">
      <c r="A16" s="1" t="s">
        <v>10</v>
      </c>
      <c r="B16" s="5">
        <f>Chart!$I$5</f>
        <v>175</v>
      </c>
    </row>
    <row r="17" spans="1:5" ht="12.75" customHeight="1" x14ac:dyDescent="0.2">
      <c r="A17" s="1" t="s">
        <v>9</v>
      </c>
      <c r="B17" s="5">
        <f>Chart!$H$5</f>
        <v>53</v>
      </c>
    </row>
    <row r="18" spans="1:5" ht="12.75" customHeight="1" x14ac:dyDescent="0.2">
      <c r="A18" s="1" t="s">
        <v>146</v>
      </c>
      <c r="B18" s="10">
        <f>LOOKUP(Chart!$F$5,'Needle Data'!$M2:$M4,'Needle Data'!$N2:$N4)</f>
        <v>0</v>
      </c>
    </row>
    <row r="19" spans="1:5" ht="12.75" customHeight="1" x14ac:dyDescent="0.2"/>
    <row r="20" spans="1:5" ht="12.75" customHeight="1" x14ac:dyDescent="0.2">
      <c r="A20" s="2" t="s">
        <v>147</v>
      </c>
      <c r="B20" s="2" t="s">
        <v>148</v>
      </c>
      <c r="C20" s="2" t="s">
        <v>20</v>
      </c>
    </row>
    <row r="21" spans="1:5" ht="12.75" customHeight="1" x14ac:dyDescent="0.2">
      <c r="A21" s="2">
        <v>1</v>
      </c>
      <c r="B21" s="3">
        <f>IF(B$14=1,(B$8-B$9)/B$10,(B$8-B$11)/(B$10-B$12))</f>
        <v>1.7560975609756096E-2</v>
      </c>
      <c r="C21" s="3">
        <f>IF(B$14=1,B$9,B$11)</f>
        <v>1.8</v>
      </c>
    </row>
    <row r="22" spans="1:5" ht="12.75" customHeight="1" x14ac:dyDescent="0.2">
      <c r="A22" s="2">
        <v>2</v>
      </c>
      <c r="B22" s="3">
        <f>IF(B$14=1,0,(B$11-B$9)/(B$12-B$13))</f>
        <v>0</v>
      </c>
      <c r="C22" s="3">
        <f>IF(B$14=1,0,B$9)</f>
        <v>0</v>
      </c>
    </row>
    <row r="23" spans="1:5" ht="12.75" customHeight="1" x14ac:dyDescent="0.2"/>
    <row r="24" spans="1:5" ht="12.75" customHeight="1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</row>
    <row r="25" spans="1:5" ht="12.75" customHeight="1" x14ac:dyDescent="0.2">
      <c r="A25" s="11">
        <v>0</v>
      </c>
      <c r="B25" s="12">
        <f t="shared" ref="B25:B48" si="0">$B$7-$A25*$B$2</f>
        <v>42.7</v>
      </c>
      <c r="C25" s="13">
        <f t="shared" ref="C25:C48" si="1">IF($B25&gt;B$10,B$8,IF($B25&lt;0,0,IF($B25&lt;B$13,B$9,IF($B25&lt;=B$12,B$22*($B25-B$13)+B$9,B$21*($B25-B$12)+C$21))))</f>
        <v>2.52</v>
      </c>
      <c r="D25" s="14">
        <f t="shared" ref="D25:D48" si="2">SQRT($B$15^2-($C25*100)^2)</f>
        <v>71.693793315739683</v>
      </c>
      <c r="E25" s="15">
        <f>$B$17*1+$D25*0</f>
        <v>53</v>
      </c>
    </row>
    <row r="26" spans="1:5" ht="12.75" customHeight="1" x14ac:dyDescent="0.2">
      <c r="A26" s="11">
        <v>0.05</v>
      </c>
      <c r="B26" s="12">
        <f t="shared" si="0"/>
        <v>41.2</v>
      </c>
      <c r="C26" s="13">
        <f t="shared" si="1"/>
        <v>2.52</v>
      </c>
      <c r="D26" s="15">
        <f t="shared" si="2"/>
        <v>71.693793315739683</v>
      </c>
      <c r="E26" s="15">
        <f>$B$17*0.8+$D26*0.2</f>
        <v>56.738758663147941</v>
      </c>
    </row>
    <row r="27" spans="1:5" ht="12.75" customHeight="1" x14ac:dyDescent="0.2">
      <c r="A27" s="11">
        <v>0.1</v>
      </c>
      <c r="B27" s="12">
        <f t="shared" si="0"/>
        <v>39.700000000000003</v>
      </c>
      <c r="C27" s="13">
        <f t="shared" si="1"/>
        <v>2.4971707317073171</v>
      </c>
      <c r="D27" s="15">
        <f t="shared" si="2"/>
        <v>79.280409730547092</v>
      </c>
      <c r="E27" s="15">
        <f>$B$17*0.6+$D27*0.4</f>
        <v>63.512163892218837</v>
      </c>
    </row>
    <row r="28" spans="1:5" ht="12.75" customHeight="1" x14ac:dyDescent="0.2">
      <c r="A28" s="11">
        <v>0.15</v>
      </c>
      <c r="B28" s="12">
        <f t="shared" si="0"/>
        <v>38.200000000000003</v>
      </c>
      <c r="C28" s="13">
        <f t="shared" si="1"/>
        <v>2.4708292682926829</v>
      </c>
      <c r="D28" s="15">
        <f t="shared" si="2"/>
        <v>87.143716178978991</v>
      </c>
      <c r="E28" s="15">
        <f>$B$17*0.4+$D28*0.6</f>
        <v>73.486229707387395</v>
      </c>
    </row>
    <row r="29" spans="1:5" ht="12.75" customHeight="1" x14ac:dyDescent="0.2">
      <c r="A29" s="11">
        <v>0.2</v>
      </c>
      <c r="B29" s="12">
        <f t="shared" si="0"/>
        <v>36.700000000000003</v>
      </c>
      <c r="C29" s="13">
        <f t="shared" si="1"/>
        <v>2.4444878048780487</v>
      </c>
      <c r="D29" s="15">
        <f t="shared" si="2"/>
        <v>94.280399437131123</v>
      </c>
      <c r="E29" s="15">
        <f>$B$17*0.2+$D29*0.8</f>
        <v>86.024319549704899</v>
      </c>
    </row>
    <row r="30" spans="1:5" ht="12.75" customHeight="1" x14ac:dyDescent="0.2">
      <c r="A30" s="11">
        <v>0.25</v>
      </c>
      <c r="B30" s="12">
        <f t="shared" si="0"/>
        <v>35.200000000000003</v>
      </c>
      <c r="C30" s="13">
        <f t="shared" si="1"/>
        <v>2.4181463414634146</v>
      </c>
      <c r="D30" s="15">
        <f t="shared" si="2"/>
        <v>100.84484475009631</v>
      </c>
      <c r="E30" s="15">
        <f>$B$17*0.1+$D30*0.9</f>
        <v>96.06036027508668</v>
      </c>
    </row>
    <row r="31" spans="1:5" ht="12.75" customHeight="1" x14ac:dyDescent="0.2">
      <c r="A31" s="11">
        <v>0.3</v>
      </c>
      <c r="B31" s="12">
        <f t="shared" si="0"/>
        <v>33.700000000000003</v>
      </c>
      <c r="C31" s="13">
        <f t="shared" si="1"/>
        <v>2.3918048780487804</v>
      </c>
      <c r="D31" s="15">
        <f t="shared" si="2"/>
        <v>106.94248105136047</v>
      </c>
      <c r="E31" s="15">
        <f>$B$17*0.05+$D31*0.95</f>
        <v>104.24535699879245</v>
      </c>
    </row>
    <row r="32" spans="1:5" ht="12.75" customHeight="1" x14ac:dyDescent="0.2">
      <c r="A32" s="11">
        <v>0.35</v>
      </c>
      <c r="B32" s="12">
        <f t="shared" si="0"/>
        <v>32.200000000000003</v>
      </c>
      <c r="C32" s="13">
        <f t="shared" si="1"/>
        <v>2.3654634146341462</v>
      </c>
      <c r="D32" s="15">
        <f t="shared" si="2"/>
        <v>112.64913821363062</v>
      </c>
      <c r="E32" s="15">
        <f t="shared" ref="E32:E48" si="3">IF($B$16&lt;$D32,$B$16,$D32)</f>
        <v>112.64913821363062</v>
      </c>
    </row>
    <row r="33" spans="1:5" ht="12.75" customHeight="1" x14ac:dyDescent="0.2">
      <c r="A33" s="11">
        <v>0.4</v>
      </c>
      <c r="B33" s="12">
        <f t="shared" si="0"/>
        <v>30.700000000000003</v>
      </c>
      <c r="C33" s="13">
        <f t="shared" si="1"/>
        <v>2.3391219512195125</v>
      </c>
      <c r="D33" s="15">
        <f t="shared" si="2"/>
        <v>118.02154452992983</v>
      </c>
      <c r="E33" s="15">
        <f t="shared" si="3"/>
        <v>118.02154452992983</v>
      </c>
    </row>
    <row r="34" spans="1:5" ht="12.75" customHeight="1" x14ac:dyDescent="0.2">
      <c r="A34" s="11">
        <v>0.45</v>
      </c>
      <c r="B34" s="12">
        <f t="shared" si="0"/>
        <v>29.200000000000003</v>
      </c>
      <c r="C34" s="13">
        <f t="shared" si="1"/>
        <v>2.3127804878048783</v>
      </c>
      <c r="D34" s="15">
        <f t="shared" si="2"/>
        <v>123.10346929429036</v>
      </c>
      <c r="E34" s="15">
        <f t="shared" si="3"/>
        <v>123.10346929429036</v>
      </c>
    </row>
    <row r="35" spans="1:5" ht="12.75" customHeight="1" x14ac:dyDescent="0.2">
      <c r="A35" s="11">
        <v>0.5</v>
      </c>
      <c r="B35" s="12">
        <f t="shared" si="0"/>
        <v>27.700000000000003</v>
      </c>
      <c r="C35" s="13">
        <f t="shared" si="1"/>
        <v>2.2864390243902442</v>
      </c>
      <c r="D35" s="15">
        <f t="shared" si="2"/>
        <v>127.92953481293472</v>
      </c>
      <c r="E35" s="15">
        <f t="shared" si="3"/>
        <v>127.92953481293472</v>
      </c>
    </row>
    <row r="36" spans="1:5" ht="12.75" customHeight="1" x14ac:dyDescent="0.2">
      <c r="A36" s="11">
        <v>0.55000000000000004</v>
      </c>
      <c r="B36" s="12">
        <f t="shared" si="0"/>
        <v>26.200000000000003</v>
      </c>
      <c r="C36" s="13">
        <f t="shared" si="1"/>
        <v>2.26009756097561</v>
      </c>
      <c r="D36" s="15">
        <f t="shared" si="2"/>
        <v>132.52769577986706</v>
      </c>
      <c r="E36" s="15">
        <f t="shared" si="3"/>
        <v>132.52769577986706</v>
      </c>
    </row>
    <row r="37" spans="1:5" ht="12.75" customHeight="1" x14ac:dyDescent="0.2">
      <c r="A37" s="11">
        <v>0.6</v>
      </c>
      <c r="B37" s="12">
        <f t="shared" si="0"/>
        <v>24.700000000000003</v>
      </c>
      <c r="C37" s="13">
        <f t="shared" si="1"/>
        <v>2.2337560975609758</v>
      </c>
      <c r="D37" s="15">
        <f t="shared" si="2"/>
        <v>136.92091500604135</v>
      </c>
      <c r="E37" s="15">
        <f t="shared" si="3"/>
        <v>136.92091500604135</v>
      </c>
    </row>
    <row r="38" spans="1:5" ht="12.75" customHeight="1" x14ac:dyDescent="0.2">
      <c r="A38" s="11">
        <v>0.65</v>
      </c>
      <c r="B38" s="12">
        <f t="shared" si="0"/>
        <v>23.200000000000003</v>
      </c>
      <c r="C38" s="13">
        <f t="shared" si="1"/>
        <v>2.2074146341463416</v>
      </c>
      <c r="D38" s="15">
        <f t="shared" si="2"/>
        <v>141.12833283776058</v>
      </c>
      <c r="E38" s="15">
        <f t="shared" si="3"/>
        <v>141.12833283776058</v>
      </c>
    </row>
    <row r="39" spans="1:5" ht="12.75" customHeight="1" x14ac:dyDescent="0.2">
      <c r="A39" s="11">
        <v>0.7</v>
      </c>
      <c r="B39" s="12">
        <f t="shared" si="0"/>
        <v>21.700000000000003</v>
      </c>
      <c r="C39" s="13">
        <f t="shared" si="1"/>
        <v>2.1810731707317075</v>
      </c>
      <c r="D39" s="15">
        <f t="shared" si="2"/>
        <v>145.1661056829154</v>
      </c>
      <c r="E39" s="15">
        <f t="shared" si="3"/>
        <v>145.1661056829154</v>
      </c>
    </row>
    <row r="40" spans="1:5" ht="12.75" customHeight="1" x14ac:dyDescent="0.2">
      <c r="A40" s="11">
        <v>0.75</v>
      </c>
      <c r="B40" s="12">
        <f t="shared" si="0"/>
        <v>20.200000000000003</v>
      </c>
      <c r="C40" s="13">
        <f t="shared" si="1"/>
        <v>2.1547317073170733</v>
      </c>
      <c r="D40" s="15">
        <f t="shared" si="2"/>
        <v>149.04802143881179</v>
      </c>
      <c r="E40" s="15">
        <f t="shared" si="3"/>
        <v>149.04802143881179</v>
      </c>
    </row>
    <row r="41" spans="1:5" ht="12.75" customHeight="1" x14ac:dyDescent="0.2">
      <c r="A41" s="11">
        <v>0.8</v>
      </c>
      <c r="B41" s="12">
        <f t="shared" si="0"/>
        <v>18.700000000000003</v>
      </c>
      <c r="C41" s="13">
        <f t="shared" si="1"/>
        <v>2.1283902439024391</v>
      </c>
      <c r="D41" s="15">
        <f t="shared" si="2"/>
        <v>152.78596040411946</v>
      </c>
      <c r="E41" s="15">
        <f t="shared" si="3"/>
        <v>152.78596040411946</v>
      </c>
    </row>
    <row r="42" spans="1:5" ht="12.75" customHeight="1" x14ac:dyDescent="0.2">
      <c r="A42" s="11">
        <v>0.85</v>
      </c>
      <c r="B42" s="12">
        <f t="shared" si="0"/>
        <v>17.200000000000003</v>
      </c>
      <c r="C42" s="13">
        <f t="shared" si="1"/>
        <v>2.102048780487805</v>
      </c>
      <c r="D42" s="15">
        <f t="shared" si="2"/>
        <v>156.39024664120623</v>
      </c>
      <c r="E42" s="15">
        <f t="shared" si="3"/>
        <v>156.39024664120623</v>
      </c>
    </row>
    <row r="43" spans="1:5" ht="12.75" customHeight="1" x14ac:dyDescent="0.2">
      <c r="A43" s="11">
        <v>0.9</v>
      </c>
      <c r="B43" s="12">
        <f t="shared" si="0"/>
        <v>15.700000000000003</v>
      </c>
      <c r="C43" s="13">
        <f t="shared" si="1"/>
        <v>2.0757073170731708</v>
      </c>
      <c r="D43" s="15">
        <f t="shared" si="2"/>
        <v>159.86992005530308</v>
      </c>
      <c r="E43" s="15">
        <f t="shared" si="3"/>
        <v>159.86992005530308</v>
      </c>
    </row>
    <row r="44" spans="1:5" ht="12.75" customHeight="1" x14ac:dyDescent="0.2">
      <c r="A44" s="11">
        <v>0.95</v>
      </c>
      <c r="B44" s="12">
        <f t="shared" si="0"/>
        <v>14.200000000000003</v>
      </c>
      <c r="C44" s="13">
        <f t="shared" si="1"/>
        <v>2.0493658536585366</v>
      </c>
      <c r="D44" s="15">
        <f t="shared" si="2"/>
        <v>163.23295003945796</v>
      </c>
      <c r="E44" s="15">
        <f t="shared" si="3"/>
        <v>163.23295003945796</v>
      </c>
    </row>
    <row r="45" spans="1:5" ht="12.75" customHeight="1" x14ac:dyDescent="0.2">
      <c r="A45" s="11">
        <v>1</v>
      </c>
      <c r="B45" s="12">
        <f t="shared" si="0"/>
        <v>12.700000000000003</v>
      </c>
      <c r="C45" s="13">
        <f t="shared" si="1"/>
        <v>2.0230243902439025</v>
      </c>
      <c r="D45" s="15">
        <f t="shared" si="2"/>
        <v>166.48640534524995</v>
      </c>
      <c r="E45" s="15">
        <f t="shared" si="3"/>
        <v>166.48640534524995</v>
      </c>
    </row>
    <row r="46" spans="1:5" ht="12.75" customHeight="1" x14ac:dyDescent="0.2">
      <c r="A46" s="11">
        <v>1.05</v>
      </c>
      <c r="B46" s="12">
        <f t="shared" si="0"/>
        <v>11.200000000000003</v>
      </c>
      <c r="C46" s="13">
        <f t="shared" si="1"/>
        <v>1.9966829268292683</v>
      </c>
      <c r="D46" s="15">
        <f t="shared" si="2"/>
        <v>169.63659067867721</v>
      </c>
      <c r="E46" s="15">
        <f t="shared" si="3"/>
        <v>169.63659067867721</v>
      </c>
    </row>
    <row r="47" spans="1:5" ht="12.75" customHeight="1" x14ac:dyDescent="0.2">
      <c r="A47" s="11">
        <v>1.1000000000000001</v>
      </c>
      <c r="B47" s="12">
        <f t="shared" si="0"/>
        <v>9.7000000000000028</v>
      </c>
      <c r="C47" s="13">
        <f t="shared" si="1"/>
        <v>1.9703414634146341</v>
      </c>
      <c r="D47" s="15">
        <f t="shared" si="2"/>
        <v>172.68915766628425</v>
      </c>
      <c r="E47" s="15">
        <f t="shared" si="3"/>
        <v>172.68915766628425</v>
      </c>
    </row>
    <row r="48" spans="1:5" ht="12.75" customHeight="1" x14ac:dyDescent="0.2">
      <c r="A48" s="11">
        <v>1.1499999999999999</v>
      </c>
      <c r="B48" s="12">
        <f t="shared" si="0"/>
        <v>8.2000000000000028</v>
      </c>
      <c r="C48" s="13">
        <f t="shared" si="1"/>
        <v>1.9440000000000002</v>
      </c>
      <c r="D48" s="15">
        <f t="shared" si="2"/>
        <v>175.64919584216719</v>
      </c>
      <c r="E48" s="15">
        <f t="shared" si="3"/>
        <v>175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B2" sqref="B2"/>
    </sheetView>
  </sheetViews>
  <sheetFormatPr baseColWidth="10" defaultColWidth="12.5703125" defaultRowHeight="15" customHeight="1" x14ac:dyDescent="0.2"/>
  <cols>
    <col min="1" max="1" width="40.28515625" customWidth="1"/>
    <col min="2" max="2" width="18.42578125" customWidth="1"/>
    <col min="3" max="3" width="15.85546875" customWidth="1"/>
    <col min="4" max="5" width="11.5703125" customWidth="1"/>
    <col min="6" max="6" width="11.42578125" customWidth="1"/>
    <col min="7" max="26" width="8.5703125" customWidth="1"/>
  </cols>
  <sheetData>
    <row r="1" spans="1:2" ht="12.75" customHeight="1" x14ac:dyDescent="0.2">
      <c r="A1" s="1" t="s">
        <v>138</v>
      </c>
      <c r="B1" s="7" t="str">
        <f>Chart!$B$6</f>
        <v>K98</v>
      </c>
    </row>
    <row r="2" spans="1:2" ht="12.75" customHeight="1" x14ac:dyDescent="0.2">
      <c r="A2" s="1" t="s">
        <v>139</v>
      </c>
      <c r="B2" s="8">
        <f>Chart!$D$6</f>
        <v>30</v>
      </c>
    </row>
    <row r="3" spans="1:2" ht="12.75" customHeight="1" x14ac:dyDescent="0.2">
      <c r="A3" s="1" t="s">
        <v>140</v>
      </c>
      <c r="B3" s="8">
        <f>Chart!$C$6</f>
        <v>1</v>
      </c>
    </row>
    <row r="4" spans="1:2" ht="12.75" customHeight="1" x14ac:dyDescent="0.2">
      <c r="A4" s="1" t="s">
        <v>141</v>
      </c>
      <c r="B4" s="9">
        <v>1.2</v>
      </c>
    </row>
    <row r="5" spans="1:2" ht="12.75" customHeight="1" x14ac:dyDescent="0.2">
      <c r="A5" s="1" t="s">
        <v>142</v>
      </c>
      <c r="B5" s="9">
        <v>26.4</v>
      </c>
    </row>
    <row r="6" spans="1:2" ht="12.75" customHeight="1" x14ac:dyDescent="0.2">
      <c r="A6" s="1" t="s">
        <v>143</v>
      </c>
      <c r="B6" s="5">
        <f>LOOKUP(LEFT(Chart!$B$6,1),'Needle Data'!$J2:$J3,'Needle Data'!$K2:$K3)</f>
        <v>73.5</v>
      </c>
    </row>
    <row r="7" spans="1:2" ht="12.75" customHeight="1" x14ac:dyDescent="0.2">
      <c r="A7" s="1" t="s">
        <v>144</v>
      </c>
      <c r="B7" s="10">
        <f>$B$6 - $B$5 - ($B$3-1)*$B$4 + $B$18 + ($B$2 - 34)/2</f>
        <v>47.1</v>
      </c>
    </row>
    <row r="8" spans="1:2" ht="12.75" customHeight="1" x14ac:dyDescent="0.2">
      <c r="A8" s="1" t="s">
        <v>17</v>
      </c>
      <c r="B8" s="5">
        <f>VLOOKUP($B$1,'Needle Data'!$A$2:$G$113,2,0)</f>
        <v>2.52</v>
      </c>
    </row>
    <row r="9" spans="1:2" ht="12.75" customHeight="1" x14ac:dyDescent="0.2">
      <c r="A9" s="1" t="s">
        <v>18</v>
      </c>
      <c r="B9" s="5">
        <f>VLOOKUP($B$1,'Needle Data'!$A$2:$G$113,3,0)</f>
        <v>1.8</v>
      </c>
    </row>
    <row r="10" spans="1:2" ht="12.75" customHeight="1" x14ac:dyDescent="0.2">
      <c r="A10" s="1" t="s">
        <v>19</v>
      </c>
      <c r="B10" s="5">
        <f>VLOOKUP($B$1,'Needle Data'!$A$2:$G$113,4,0)</f>
        <v>41</v>
      </c>
    </row>
    <row r="11" spans="1:2" ht="12.75" customHeight="1" x14ac:dyDescent="0.2">
      <c r="A11" s="1" t="s">
        <v>20</v>
      </c>
      <c r="B11" s="5">
        <f>VLOOKUP($B$1,'Needle Data'!$A$2:$G$113,5,0)</f>
        <v>0</v>
      </c>
    </row>
    <row r="12" spans="1:2" ht="12.75" customHeight="1" x14ac:dyDescent="0.2">
      <c r="A12" s="1" t="s">
        <v>21</v>
      </c>
      <c r="B12" s="5">
        <f>VLOOKUP($B$1,'Needle Data'!$A$2:$G$113,6,0)</f>
        <v>0</v>
      </c>
    </row>
    <row r="13" spans="1:2" ht="12.75" customHeight="1" x14ac:dyDescent="0.2">
      <c r="A13" s="1" t="s">
        <v>22</v>
      </c>
      <c r="B13" s="5">
        <f>VLOOKUP($B$1,'Needle Data'!$A$2:$G$113,7,0)</f>
        <v>0</v>
      </c>
    </row>
    <row r="14" spans="1:2" ht="12.75" customHeight="1" x14ac:dyDescent="0.2">
      <c r="A14" s="1" t="s">
        <v>145</v>
      </c>
      <c r="B14" s="5">
        <f>IF($B$13,3,IF($B$12,2,1))</f>
        <v>1</v>
      </c>
    </row>
    <row r="15" spans="1:2" ht="12.75" customHeight="1" x14ac:dyDescent="0.2">
      <c r="A15" s="1" t="s">
        <v>6</v>
      </c>
      <c r="B15" s="5">
        <f>Chart!$E$6</f>
        <v>268</v>
      </c>
    </row>
    <row r="16" spans="1:2" ht="12.75" customHeight="1" x14ac:dyDescent="0.2">
      <c r="A16" s="1" t="s">
        <v>10</v>
      </c>
      <c r="B16" s="5">
        <f>Chart!$I$6</f>
        <v>155</v>
      </c>
    </row>
    <row r="17" spans="1:5" ht="12.75" customHeight="1" x14ac:dyDescent="0.2">
      <c r="A17" s="1" t="s">
        <v>9</v>
      </c>
      <c r="B17" s="5">
        <f>Chart!$H$6</f>
        <v>53</v>
      </c>
    </row>
    <row r="18" spans="1:5" ht="12.75" customHeight="1" x14ac:dyDescent="0.2">
      <c r="A18" s="1" t="s">
        <v>146</v>
      </c>
      <c r="B18" s="10">
        <f>LOOKUP(Chart!$F$6,'Needle Data'!$M2:$M4,'Needle Data'!$N2:$N4)</f>
        <v>2</v>
      </c>
    </row>
    <row r="19" spans="1:5" ht="12.75" customHeight="1" x14ac:dyDescent="0.2"/>
    <row r="20" spans="1:5" ht="12.75" customHeight="1" x14ac:dyDescent="0.2">
      <c r="A20" s="2" t="s">
        <v>147</v>
      </c>
      <c r="B20" s="2" t="s">
        <v>148</v>
      </c>
      <c r="C20" s="2" t="s">
        <v>20</v>
      </c>
    </row>
    <row r="21" spans="1:5" ht="12.75" customHeight="1" x14ac:dyDescent="0.2">
      <c r="A21" s="2">
        <v>1</v>
      </c>
      <c r="B21" s="3">
        <f>IF(B$14=1,(B$8-B$9)/B$10,(B$8-B$11)/(B$10-B$12))</f>
        <v>1.7560975609756096E-2</v>
      </c>
      <c r="C21" s="3">
        <f>IF(B$14=1,B$9,B$11)</f>
        <v>1.8</v>
      </c>
    </row>
    <row r="22" spans="1:5" ht="12.75" customHeight="1" x14ac:dyDescent="0.2">
      <c r="A22" s="2">
        <v>2</v>
      </c>
      <c r="B22" s="3">
        <f>IF(B$14=1,0,(B$11-B$9)/(B$12-B$13))</f>
        <v>0</v>
      </c>
      <c r="C22" s="3">
        <f>IF(B$14=1,0,B$9)</f>
        <v>0</v>
      </c>
    </row>
    <row r="23" spans="1:5" ht="12.75" customHeight="1" x14ac:dyDescent="0.2"/>
    <row r="24" spans="1:5" ht="12.75" customHeight="1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</row>
    <row r="25" spans="1:5" ht="12.75" customHeight="1" x14ac:dyDescent="0.2">
      <c r="A25" s="11">
        <v>0</v>
      </c>
      <c r="B25" s="12">
        <f t="shared" ref="B25:B48" si="0">$B$7-$A25*$B$2</f>
        <v>47.1</v>
      </c>
      <c r="C25" s="13">
        <f t="shared" ref="C25:C48" si="1">IF($B25&gt;B$10,B$8,IF($B25&lt;0,0,IF($B25&lt;B$13,B$9,IF($B25&lt;=B$12,B$22*($B25-B$13)+B$9,B$21*($B25-B$12)+C$21))))</f>
        <v>2.52</v>
      </c>
      <c r="D25" s="14">
        <f t="shared" ref="D25:D48" si="2">SQRT($B$15^2-($C25*100)^2)</f>
        <v>91.214034007931033</v>
      </c>
      <c r="E25" s="15">
        <f>$B$17*1+$D25*0</f>
        <v>53</v>
      </c>
    </row>
    <row r="26" spans="1:5" ht="12.75" customHeight="1" x14ac:dyDescent="0.2">
      <c r="A26" s="11">
        <v>0.05</v>
      </c>
      <c r="B26" s="12">
        <f t="shared" si="0"/>
        <v>45.6</v>
      </c>
      <c r="C26" s="13">
        <f t="shared" si="1"/>
        <v>2.52</v>
      </c>
      <c r="D26" s="15">
        <f t="shared" si="2"/>
        <v>91.214034007931033</v>
      </c>
      <c r="E26" s="15">
        <f>$B$17*0.8+$D26*0.2</f>
        <v>60.642806801586218</v>
      </c>
    </row>
    <row r="27" spans="1:5" ht="12.75" customHeight="1" x14ac:dyDescent="0.2">
      <c r="A27" s="11">
        <v>0.1</v>
      </c>
      <c r="B27" s="12">
        <f t="shared" si="0"/>
        <v>44.1</v>
      </c>
      <c r="C27" s="13">
        <f t="shared" si="1"/>
        <v>2.52</v>
      </c>
      <c r="D27" s="15">
        <f t="shared" si="2"/>
        <v>91.214034007931033</v>
      </c>
      <c r="E27" s="15">
        <f>$B$17*0.6+$D27*0.4</f>
        <v>68.285613603172408</v>
      </c>
    </row>
    <row r="28" spans="1:5" ht="12.75" customHeight="1" x14ac:dyDescent="0.2">
      <c r="A28" s="11">
        <v>0.15</v>
      </c>
      <c r="B28" s="12">
        <f t="shared" si="0"/>
        <v>42.6</v>
      </c>
      <c r="C28" s="13">
        <f t="shared" si="1"/>
        <v>2.52</v>
      </c>
      <c r="D28" s="15">
        <f t="shared" si="2"/>
        <v>91.214034007931033</v>
      </c>
      <c r="E28" s="15">
        <f>$B$17*0.4+$D28*0.6</f>
        <v>75.928420404758612</v>
      </c>
    </row>
    <row r="29" spans="1:5" ht="12.75" customHeight="1" x14ac:dyDescent="0.2">
      <c r="A29" s="11">
        <v>0.2</v>
      </c>
      <c r="B29" s="12">
        <f t="shared" si="0"/>
        <v>41.1</v>
      </c>
      <c r="C29" s="13">
        <f t="shared" si="1"/>
        <v>2.52</v>
      </c>
      <c r="D29" s="15">
        <f t="shared" si="2"/>
        <v>91.214034007931033</v>
      </c>
      <c r="E29" s="15">
        <f>$B$17*0.2+$D29*0.8</f>
        <v>83.571227206344844</v>
      </c>
    </row>
    <row r="30" spans="1:5" ht="12.75" customHeight="1" x14ac:dyDescent="0.2">
      <c r="A30" s="11">
        <v>0.25</v>
      </c>
      <c r="B30" s="12">
        <f t="shared" si="0"/>
        <v>39.6</v>
      </c>
      <c r="C30" s="13">
        <f t="shared" si="1"/>
        <v>2.4954146341463415</v>
      </c>
      <c r="D30" s="15">
        <f t="shared" si="2"/>
        <v>97.739746453951966</v>
      </c>
      <c r="E30" s="15">
        <f>$B$17*0.1+$D30*0.9</f>
        <v>93.265771808556764</v>
      </c>
    </row>
    <row r="31" spans="1:5" ht="12.75" customHeight="1" x14ac:dyDescent="0.2">
      <c r="A31" s="11">
        <v>0.3</v>
      </c>
      <c r="B31" s="12">
        <f t="shared" si="0"/>
        <v>38.1</v>
      </c>
      <c r="C31" s="13">
        <f t="shared" si="1"/>
        <v>2.4690731707317073</v>
      </c>
      <c r="D31" s="15">
        <f t="shared" si="2"/>
        <v>104.21505061999795</v>
      </c>
      <c r="E31" s="15">
        <f>$B$17*0.05+$D31*0.95</f>
        <v>101.65429808899806</v>
      </c>
    </row>
    <row r="32" spans="1:5" ht="12.75" customHeight="1" x14ac:dyDescent="0.2">
      <c r="A32" s="11">
        <v>0.35</v>
      </c>
      <c r="B32" s="12">
        <f t="shared" si="0"/>
        <v>36.6</v>
      </c>
      <c r="C32" s="13">
        <f t="shared" si="1"/>
        <v>2.4427317073170731</v>
      </c>
      <c r="D32" s="15">
        <f t="shared" si="2"/>
        <v>110.24798438374356</v>
      </c>
      <c r="E32" s="15">
        <f t="shared" ref="E32:E48" si="3">IF($B$16&lt;$D32,$B$16,$D32)</f>
        <v>110.24798438374356</v>
      </c>
    </row>
    <row r="33" spans="1:5" ht="12.75" customHeight="1" x14ac:dyDescent="0.2">
      <c r="A33" s="11">
        <v>0.4</v>
      </c>
      <c r="B33" s="12">
        <f t="shared" si="0"/>
        <v>35.1</v>
      </c>
      <c r="C33" s="13">
        <f t="shared" si="1"/>
        <v>2.416390243902439</v>
      </c>
      <c r="D33" s="15">
        <f t="shared" si="2"/>
        <v>115.90764380199919</v>
      </c>
      <c r="E33" s="15">
        <f t="shared" si="3"/>
        <v>115.90764380199919</v>
      </c>
    </row>
    <row r="34" spans="1:5" ht="12.75" customHeight="1" x14ac:dyDescent="0.2">
      <c r="A34" s="11">
        <v>0.45</v>
      </c>
      <c r="B34" s="12">
        <f t="shared" si="0"/>
        <v>33.6</v>
      </c>
      <c r="C34" s="13">
        <f t="shared" si="1"/>
        <v>2.3900487804878048</v>
      </c>
      <c r="D34" s="15">
        <f t="shared" si="2"/>
        <v>121.24631239294483</v>
      </c>
      <c r="E34" s="15">
        <f t="shared" si="3"/>
        <v>121.24631239294483</v>
      </c>
    </row>
    <row r="35" spans="1:5" ht="12.75" customHeight="1" x14ac:dyDescent="0.2">
      <c r="A35" s="11">
        <v>0.5</v>
      </c>
      <c r="B35" s="12">
        <f t="shared" si="0"/>
        <v>32.1</v>
      </c>
      <c r="C35" s="13">
        <f t="shared" si="1"/>
        <v>2.3637073170731706</v>
      </c>
      <c r="D35" s="15">
        <f t="shared" si="2"/>
        <v>126.30469980229374</v>
      </c>
      <c r="E35" s="15">
        <f t="shared" si="3"/>
        <v>126.30469980229374</v>
      </c>
    </row>
    <row r="36" spans="1:5" ht="12.75" customHeight="1" x14ac:dyDescent="0.2">
      <c r="A36" s="11">
        <v>0.55000000000000004</v>
      </c>
      <c r="B36" s="12">
        <f t="shared" si="0"/>
        <v>30.6</v>
      </c>
      <c r="C36" s="13">
        <f t="shared" si="1"/>
        <v>2.3373658536585364</v>
      </c>
      <c r="D36" s="15">
        <f t="shared" si="2"/>
        <v>131.11524953837755</v>
      </c>
      <c r="E36" s="15">
        <f t="shared" si="3"/>
        <v>131.11524953837755</v>
      </c>
    </row>
    <row r="37" spans="1:5" ht="12.75" customHeight="1" x14ac:dyDescent="0.2">
      <c r="A37" s="11">
        <v>0.6</v>
      </c>
      <c r="B37" s="12">
        <f t="shared" si="0"/>
        <v>29.1</v>
      </c>
      <c r="C37" s="13">
        <f t="shared" si="1"/>
        <v>2.3110243902439027</v>
      </c>
      <c r="D37" s="15">
        <f t="shared" si="2"/>
        <v>135.70432077490378</v>
      </c>
      <c r="E37" s="15">
        <f t="shared" si="3"/>
        <v>135.70432077490378</v>
      </c>
    </row>
    <row r="38" spans="1:5" ht="12.75" customHeight="1" x14ac:dyDescent="0.2">
      <c r="A38" s="11">
        <v>0.65</v>
      </c>
      <c r="B38" s="12">
        <f t="shared" si="0"/>
        <v>27.6</v>
      </c>
      <c r="C38" s="13">
        <f t="shared" si="1"/>
        <v>2.2846829268292685</v>
      </c>
      <c r="D38" s="15">
        <f t="shared" si="2"/>
        <v>140.09368022344358</v>
      </c>
      <c r="E38" s="15">
        <f t="shared" si="3"/>
        <v>140.09368022344358</v>
      </c>
    </row>
    <row r="39" spans="1:5" ht="12.75" customHeight="1" x14ac:dyDescent="0.2">
      <c r="A39" s="11">
        <v>0.7</v>
      </c>
      <c r="B39" s="12">
        <f t="shared" si="0"/>
        <v>26.1</v>
      </c>
      <c r="C39" s="13">
        <f t="shared" si="1"/>
        <v>2.2583414634146344</v>
      </c>
      <c r="D39" s="15">
        <f t="shared" si="2"/>
        <v>144.30155351285194</v>
      </c>
      <c r="E39" s="15">
        <f t="shared" si="3"/>
        <v>144.30155351285194</v>
      </c>
    </row>
    <row r="40" spans="1:5" ht="12.75" customHeight="1" x14ac:dyDescent="0.2">
      <c r="A40" s="11">
        <v>0.75</v>
      </c>
      <c r="B40" s="12">
        <f t="shared" si="0"/>
        <v>24.6</v>
      </c>
      <c r="C40" s="13">
        <f t="shared" si="1"/>
        <v>2.2320000000000002</v>
      </c>
      <c r="D40" s="15">
        <f t="shared" si="2"/>
        <v>148.3433854271905</v>
      </c>
      <c r="E40" s="15">
        <f t="shared" si="3"/>
        <v>148.3433854271905</v>
      </c>
    </row>
    <row r="41" spans="1:5" ht="12.75" customHeight="1" x14ac:dyDescent="0.2">
      <c r="A41" s="11">
        <v>0.8</v>
      </c>
      <c r="B41" s="12">
        <f t="shared" si="0"/>
        <v>23.1</v>
      </c>
      <c r="C41" s="13">
        <f t="shared" si="1"/>
        <v>2.205658536585366</v>
      </c>
      <c r="D41" s="15">
        <f t="shared" si="2"/>
        <v>152.23240193822409</v>
      </c>
      <c r="E41" s="15">
        <f t="shared" si="3"/>
        <v>152.23240193822409</v>
      </c>
    </row>
    <row r="42" spans="1:5" ht="12.75" customHeight="1" x14ac:dyDescent="0.2">
      <c r="A42" s="11">
        <v>0.85</v>
      </c>
      <c r="B42" s="12">
        <f t="shared" si="0"/>
        <v>21.6</v>
      </c>
      <c r="C42" s="13">
        <f t="shared" si="1"/>
        <v>2.1793170731707319</v>
      </c>
      <c r="D42" s="15">
        <f t="shared" si="2"/>
        <v>155.98003380518145</v>
      </c>
      <c r="E42" s="15">
        <f t="shared" si="3"/>
        <v>155</v>
      </c>
    </row>
    <row r="43" spans="1:5" ht="12.75" customHeight="1" x14ac:dyDescent="0.2">
      <c r="A43" s="11">
        <v>0.9</v>
      </c>
      <c r="B43" s="12">
        <f t="shared" si="0"/>
        <v>20.100000000000001</v>
      </c>
      <c r="C43" s="13">
        <f t="shared" si="1"/>
        <v>2.1529756097560977</v>
      </c>
      <c r="D43" s="15">
        <f t="shared" si="2"/>
        <v>159.59624130271237</v>
      </c>
      <c r="E43" s="15">
        <f t="shared" si="3"/>
        <v>155</v>
      </c>
    </row>
    <row r="44" spans="1:5" ht="12.75" customHeight="1" x14ac:dyDescent="0.2">
      <c r="A44" s="11">
        <v>0.95</v>
      </c>
      <c r="B44" s="12">
        <f t="shared" si="0"/>
        <v>18.600000000000001</v>
      </c>
      <c r="C44" s="13">
        <f t="shared" si="1"/>
        <v>2.1266341463414635</v>
      </c>
      <c r="D44" s="15">
        <f t="shared" si="2"/>
        <v>163.08976692651547</v>
      </c>
      <c r="E44" s="15">
        <f t="shared" si="3"/>
        <v>155</v>
      </c>
    </row>
    <row r="45" spans="1:5" ht="12.75" customHeight="1" x14ac:dyDescent="0.2">
      <c r="A45" s="11">
        <v>1</v>
      </c>
      <c r="B45" s="12">
        <f t="shared" si="0"/>
        <v>17.100000000000001</v>
      </c>
      <c r="C45" s="13">
        <f t="shared" si="1"/>
        <v>2.1002926829268294</v>
      </c>
      <c r="D45" s="15">
        <f t="shared" si="2"/>
        <v>166.46833470795642</v>
      </c>
      <c r="E45" s="15">
        <f t="shared" si="3"/>
        <v>155</v>
      </c>
    </row>
    <row r="46" spans="1:5" ht="12.75" customHeight="1" x14ac:dyDescent="0.2">
      <c r="A46" s="11">
        <v>1.05</v>
      </c>
      <c r="B46" s="12">
        <f t="shared" si="0"/>
        <v>15.600000000000001</v>
      </c>
      <c r="C46" s="13">
        <f t="shared" si="1"/>
        <v>2.0739512195121952</v>
      </c>
      <c r="D46" s="15">
        <f t="shared" si="2"/>
        <v>169.73880932432272</v>
      </c>
      <c r="E46" s="15">
        <f t="shared" si="3"/>
        <v>155</v>
      </c>
    </row>
    <row r="47" spans="1:5" ht="12.75" customHeight="1" x14ac:dyDescent="0.2">
      <c r="A47" s="11">
        <v>1.1000000000000001</v>
      </c>
      <c r="B47" s="12">
        <f t="shared" si="0"/>
        <v>14.100000000000001</v>
      </c>
      <c r="C47" s="13">
        <f t="shared" si="1"/>
        <v>2.047609756097561</v>
      </c>
      <c r="D47" s="15">
        <f t="shared" si="2"/>
        <v>172.90732450460527</v>
      </c>
      <c r="E47" s="15">
        <f t="shared" si="3"/>
        <v>155</v>
      </c>
    </row>
    <row r="48" spans="1:5" ht="12.75" customHeight="1" x14ac:dyDescent="0.2">
      <c r="A48" s="11">
        <v>1.1499999999999999</v>
      </c>
      <c r="B48" s="12">
        <f t="shared" si="0"/>
        <v>12.600000000000001</v>
      </c>
      <c r="C48" s="13">
        <f t="shared" si="1"/>
        <v>2.0212682926829268</v>
      </c>
      <c r="D48" s="15">
        <f t="shared" si="2"/>
        <v>175.97938768488331</v>
      </c>
      <c r="E48" s="15">
        <f t="shared" si="3"/>
        <v>155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703125" defaultRowHeight="15" customHeight="1" x14ac:dyDescent="0.2"/>
  <cols>
    <col min="1" max="1" width="40.28515625" customWidth="1"/>
    <col min="2" max="2" width="18.42578125" customWidth="1"/>
    <col min="3" max="3" width="15.85546875" customWidth="1"/>
    <col min="4" max="5" width="11.5703125" customWidth="1"/>
    <col min="6" max="6" width="11.42578125" customWidth="1"/>
    <col min="7" max="26" width="8.5703125" customWidth="1"/>
  </cols>
  <sheetData>
    <row r="1" spans="1:2" ht="12.75" customHeight="1" x14ac:dyDescent="0.2">
      <c r="A1" s="1" t="s">
        <v>138</v>
      </c>
      <c r="B1" s="7" t="str">
        <f>Chart!$B$7</f>
        <v>K98</v>
      </c>
    </row>
    <row r="2" spans="1:2" ht="12.75" customHeight="1" x14ac:dyDescent="0.2">
      <c r="A2" s="1" t="s">
        <v>139</v>
      </c>
      <c r="B2" s="8">
        <f>Chart!$D$7</f>
        <v>30</v>
      </c>
    </row>
    <row r="3" spans="1:2" ht="12.75" customHeight="1" x14ac:dyDescent="0.2">
      <c r="A3" s="1" t="s">
        <v>140</v>
      </c>
      <c r="B3" s="8">
        <f>Chart!$C$7</f>
        <v>1</v>
      </c>
    </row>
    <row r="4" spans="1:2" ht="12.75" customHeight="1" x14ac:dyDescent="0.2">
      <c r="A4" s="1" t="s">
        <v>141</v>
      </c>
      <c r="B4" s="9">
        <v>1.2</v>
      </c>
    </row>
    <row r="5" spans="1:2" ht="12.75" customHeight="1" x14ac:dyDescent="0.2">
      <c r="A5" s="1" t="s">
        <v>142</v>
      </c>
      <c r="B5" s="9">
        <v>26.4</v>
      </c>
    </row>
    <row r="6" spans="1:2" ht="12.75" customHeight="1" x14ac:dyDescent="0.2">
      <c r="A6" s="1" t="s">
        <v>143</v>
      </c>
      <c r="B6" s="5">
        <f>LOOKUP(LEFT(Chart!$B$7,1),'Needle Data'!$J2:$J3,'Needle Data'!$K2:$K3)</f>
        <v>73.5</v>
      </c>
    </row>
    <row r="7" spans="1:2" ht="12.75" customHeight="1" x14ac:dyDescent="0.2">
      <c r="A7" s="1" t="s">
        <v>144</v>
      </c>
      <c r="B7" s="10">
        <f>$B$6 - $B$5 - ($B$3-1)*$B$4 + $B$18 + ($B$2 - 34)/2</f>
        <v>47.1</v>
      </c>
    </row>
    <row r="8" spans="1:2" ht="12.75" customHeight="1" x14ac:dyDescent="0.2">
      <c r="A8" s="1" t="s">
        <v>17</v>
      </c>
      <c r="B8" s="5">
        <f>VLOOKUP($B$1,'Needle Data'!$A$2:$G$113,2,0)</f>
        <v>2.52</v>
      </c>
    </row>
    <row r="9" spans="1:2" ht="12.75" customHeight="1" x14ac:dyDescent="0.2">
      <c r="A9" s="1" t="s">
        <v>18</v>
      </c>
      <c r="B9" s="5">
        <f>VLOOKUP($B$1,'Needle Data'!$A$2:$G$113,3,0)</f>
        <v>1.8</v>
      </c>
    </row>
    <row r="10" spans="1:2" ht="12.75" customHeight="1" x14ac:dyDescent="0.2">
      <c r="A10" s="1" t="s">
        <v>19</v>
      </c>
      <c r="B10" s="5">
        <f>VLOOKUP($B$1,'Needle Data'!$A$2:$G$113,4,0)</f>
        <v>41</v>
      </c>
    </row>
    <row r="11" spans="1:2" ht="12.75" customHeight="1" x14ac:dyDescent="0.2">
      <c r="A11" s="1" t="s">
        <v>20</v>
      </c>
      <c r="B11" s="5">
        <f>VLOOKUP($B$1,'Needle Data'!$A$2:$G$113,5,0)</f>
        <v>0</v>
      </c>
    </row>
    <row r="12" spans="1:2" ht="12.75" customHeight="1" x14ac:dyDescent="0.2">
      <c r="A12" s="1" t="s">
        <v>21</v>
      </c>
      <c r="B12" s="5">
        <f>VLOOKUP($B$1,'Needle Data'!$A$2:$G$113,6,0)</f>
        <v>0</v>
      </c>
    </row>
    <row r="13" spans="1:2" ht="12.75" customHeight="1" x14ac:dyDescent="0.2">
      <c r="A13" s="1" t="s">
        <v>22</v>
      </c>
      <c r="B13" s="5">
        <f>VLOOKUP($B$1,'Needle Data'!$A$2:$G$113,7,0)</f>
        <v>0</v>
      </c>
    </row>
    <row r="14" spans="1:2" ht="12.75" customHeight="1" x14ac:dyDescent="0.2">
      <c r="A14" s="1" t="s">
        <v>145</v>
      </c>
      <c r="B14" s="5">
        <f>IF($B$13,3,IF($B$12,2,1))</f>
        <v>1</v>
      </c>
    </row>
    <row r="15" spans="1:2" ht="12.75" customHeight="1" x14ac:dyDescent="0.2">
      <c r="A15" s="1" t="s">
        <v>6</v>
      </c>
      <c r="B15" s="5">
        <f>Chart!$E$7</f>
        <v>267</v>
      </c>
    </row>
    <row r="16" spans="1:2" ht="12.75" customHeight="1" x14ac:dyDescent="0.2">
      <c r="A16" s="1" t="s">
        <v>10</v>
      </c>
      <c r="B16" s="5">
        <f>Chart!$I$7</f>
        <v>155</v>
      </c>
    </row>
    <row r="17" spans="1:5" ht="12.75" customHeight="1" x14ac:dyDescent="0.2">
      <c r="A17" s="1" t="s">
        <v>9</v>
      </c>
      <c r="B17" s="5">
        <f>Chart!$H$7</f>
        <v>55</v>
      </c>
    </row>
    <row r="18" spans="1:5" ht="12.75" customHeight="1" x14ac:dyDescent="0.2">
      <c r="A18" s="1" t="s">
        <v>146</v>
      </c>
      <c r="B18" s="10">
        <f>LOOKUP(Chart!$F$7,'Needle Data'!$M2:$M4,'Needle Data'!$N2:$N4)</f>
        <v>2</v>
      </c>
    </row>
    <row r="19" spans="1:5" ht="12.75" customHeight="1" x14ac:dyDescent="0.2"/>
    <row r="20" spans="1:5" ht="12.75" customHeight="1" x14ac:dyDescent="0.2">
      <c r="A20" s="2" t="s">
        <v>147</v>
      </c>
      <c r="B20" s="2" t="s">
        <v>148</v>
      </c>
      <c r="C20" s="2" t="s">
        <v>20</v>
      </c>
    </row>
    <row r="21" spans="1:5" ht="12.75" customHeight="1" x14ac:dyDescent="0.2">
      <c r="A21" s="2">
        <v>1</v>
      </c>
      <c r="B21" s="3">
        <f>IF(B$14=1,(B$8-B$9)/B$10,(B$8-B$11)/(B$10-B$12))</f>
        <v>1.7560975609756096E-2</v>
      </c>
      <c r="C21" s="3">
        <f>IF(B$14=1,B$9,B$11)</f>
        <v>1.8</v>
      </c>
    </row>
    <row r="22" spans="1:5" ht="12.75" customHeight="1" x14ac:dyDescent="0.2">
      <c r="A22" s="2">
        <v>2</v>
      </c>
      <c r="B22" s="3">
        <f>IF(B$14=1,0,(B$11-B$9)/(B$12-B$13))</f>
        <v>0</v>
      </c>
      <c r="C22" s="3">
        <f>IF(B$14=1,0,B$9)</f>
        <v>0</v>
      </c>
    </row>
    <row r="23" spans="1:5" ht="12.75" customHeight="1" x14ac:dyDescent="0.2"/>
    <row r="24" spans="1:5" ht="12.75" customHeight="1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</row>
    <row r="25" spans="1:5" ht="12.75" customHeight="1" x14ac:dyDescent="0.2">
      <c r="A25" s="11">
        <v>0</v>
      </c>
      <c r="B25" s="12">
        <f t="shared" ref="B25:B48" si="0">$B$7-$A25*$B$2</f>
        <v>47.1</v>
      </c>
      <c r="C25" s="13">
        <f t="shared" ref="C25:C48" si="1">IF($B25&gt;B$10,B$8,IF($B25&lt;0,0,IF($B25&lt;B$13,B$9,IF($B25&lt;=B$12,B$22*($B25-B$13)+B$9,B$21*($B25-B$12)+C$21))))</f>
        <v>2.52</v>
      </c>
      <c r="D25" s="14">
        <f t="shared" ref="D25:D48" si="2">SQRT($B$15^2-($C25*100)^2)</f>
        <v>88.232647019116456</v>
      </c>
      <c r="E25" s="15">
        <f>$B$17*1+$D25*0</f>
        <v>55</v>
      </c>
    </row>
    <row r="26" spans="1:5" ht="12.75" customHeight="1" x14ac:dyDescent="0.2">
      <c r="A26" s="11">
        <v>0.05</v>
      </c>
      <c r="B26" s="12">
        <f t="shared" si="0"/>
        <v>45.6</v>
      </c>
      <c r="C26" s="13">
        <f t="shared" si="1"/>
        <v>2.52</v>
      </c>
      <c r="D26" s="15">
        <f t="shared" si="2"/>
        <v>88.232647019116456</v>
      </c>
      <c r="E26" s="15">
        <f>$B$17*0.8+$D26*0.2</f>
        <v>61.646529403823294</v>
      </c>
    </row>
    <row r="27" spans="1:5" ht="12.75" customHeight="1" x14ac:dyDescent="0.2">
      <c r="A27" s="11">
        <v>0.1</v>
      </c>
      <c r="B27" s="12">
        <f t="shared" si="0"/>
        <v>44.1</v>
      </c>
      <c r="C27" s="13">
        <f t="shared" si="1"/>
        <v>2.52</v>
      </c>
      <c r="D27" s="15">
        <f t="shared" si="2"/>
        <v>88.232647019116456</v>
      </c>
      <c r="E27" s="15">
        <f>$B$17*0.6+$D27*0.4</f>
        <v>68.293058807646588</v>
      </c>
    </row>
    <row r="28" spans="1:5" ht="12.75" customHeight="1" x14ac:dyDescent="0.2">
      <c r="A28" s="11">
        <v>0.15</v>
      </c>
      <c r="B28" s="12">
        <f t="shared" si="0"/>
        <v>42.6</v>
      </c>
      <c r="C28" s="13">
        <f t="shared" si="1"/>
        <v>2.52</v>
      </c>
      <c r="D28" s="15">
        <f t="shared" si="2"/>
        <v>88.232647019116456</v>
      </c>
      <c r="E28" s="15">
        <f>$B$17*0.4+$D28*0.6</f>
        <v>74.939588211469868</v>
      </c>
    </row>
    <row r="29" spans="1:5" ht="12.75" customHeight="1" x14ac:dyDescent="0.2">
      <c r="A29" s="11">
        <v>0.2</v>
      </c>
      <c r="B29" s="12">
        <f t="shared" si="0"/>
        <v>41.1</v>
      </c>
      <c r="C29" s="13">
        <f t="shared" si="1"/>
        <v>2.52</v>
      </c>
      <c r="D29" s="15">
        <f t="shared" si="2"/>
        <v>88.232647019116456</v>
      </c>
      <c r="E29" s="15">
        <f>$B$17*0.2+$D29*0.8</f>
        <v>81.586117615293162</v>
      </c>
    </row>
    <row r="30" spans="1:5" ht="12.75" customHeight="1" x14ac:dyDescent="0.2">
      <c r="A30" s="11">
        <v>0.25</v>
      </c>
      <c r="B30" s="12">
        <f t="shared" si="0"/>
        <v>39.6</v>
      </c>
      <c r="C30" s="13">
        <f t="shared" si="1"/>
        <v>2.4954146341463415</v>
      </c>
      <c r="D30" s="15">
        <f t="shared" si="2"/>
        <v>94.963456323381664</v>
      </c>
      <c r="E30" s="15">
        <f>$B$17*0.1+$D30*0.9</f>
        <v>90.967110691043501</v>
      </c>
    </row>
    <row r="31" spans="1:5" ht="12.75" customHeight="1" x14ac:dyDescent="0.2">
      <c r="A31" s="11">
        <v>0.3</v>
      </c>
      <c r="B31" s="12">
        <f t="shared" si="0"/>
        <v>38.1</v>
      </c>
      <c r="C31" s="13">
        <f t="shared" si="1"/>
        <v>2.4690731707317073</v>
      </c>
      <c r="D31" s="15">
        <f t="shared" si="2"/>
        <v>101.61582935610346</v>
      </c>
      <c r="E31" s="15">
        <f>$B$17*0.05+$D31*0.95</f>
        <v>99.285037888298277</v>
      </c>
    </row>
    <row r="32" spans="1:5" ht="12.75" customHeight="1" x14ac:dyDescent="0.2">
      <c r="A32" s="11">
        <v>0.35</v>
      </c>
      <c r="B32" s="12">
        <f t="shared" si="0"/>
        <v>36.6</v>
      </c>
      <c r="C32" s="13">
        <f t="shared" si="1"/>
        <v>2.4427317073170731</v>
      </c>
      <c r="D32" s="15">
        <f t="shared" si="2"/>
        <v>107.79433222891714</v>
      </c>
      <c r="E32" s="15">
        <f t="shared" ref="E32:E48" si="3">IF($B$16&lt;$D32,$B$16,$D32)</f>
        <v>107.79433222891714</v>
      </c>
    </row>
    <row r="33" spans="1:5" ht="12.75" customHeight="1" x14ac:dyDescent="0.2">
      <c r="A33" s="11">
        <v>0.4</v>
      </c>
      <c r="B33" s="12">
        <f t="shared" si="0"/>
        <v>35.1</v>
      </c>
      <c r="C33" s="13">
        <f t="shared" si="1"/>
        <v>2.416390243902439</v>
      </c>
      <c r="D33" s="15">
        <f t="shared" si="2"/>
        <v>113.57632628206953</v>
      </c>
      <c r="E33" s="15">
        <f t="shared" si="3"/>
        <v>113.57632628206953</v>
      </c>
    </row>
    <row r="34" spans="1:5" ht="12.75" customHeight="1" x14ac:dyDescent="0.2">
      <c r="A34" s="11">
        <v>0.45</v>
      </c>
      <c r="B34" s="12">
        <f t="shared" si="0"/>
        <v>33.6</v>
      </c>
      <c r="C34" s="13">
        <f t="shared" si="1"/>
        <v>2.3900487804878048</v>
      </c>
      <c r="D34" s="15">
        <f t="shared" si="2"/>
        <v>119.01961295890509</v>
      </c>
      <c r="E34" s="15">
        <f t="shared" si="3"/>
        <v>119.01961295890509</v>
      </c>
    </row>
    <row r="35" spans="1:5" ht="12.75" customHeight="1" x14ac:dyDescent="0.2">
      <c r="A35" s="11">
        <v>0.5</v>
      </c>
      <c r="B35" s="12">
        <f t="shared" si="0"/>
        <v>32.1</v>
      </c>
      <c r="C35" s="13">
        <f t="shared" si="1"/>
        <v>2.3637073170731706</v>
      </c>
      <c r="D35" s="15">
        <f t="shared" si="2"/>
        <v>124.1687448279459</v>
      </c>
      <c r="E35" s="15">
        <f t="shared" si="3"/>
        <v>124.1687448279459</v>
      </c>
    </row>
    <row r="36" spans="1:5" ht="12.75" customHeight="1" x14ac:dyDescent="0.2">
      <c r="A36" s="11">
        <v>0.55000000000000004</v>
      </c>
      <c r="B36" s="12">
        <f t="shared" si="0"/>
        <v>30.6</v>
      </c>
      <c r="C36" s="13">
        <f t="shared" si="1"/>
        <v>2.3373658536585364</v>
      </c>
      <c r="D36" s="15">
        <f t="shared" si="2"/>
        <v>129.05893483796856</v>
      </c>
      <c r="E36" s="15">
        <f t="shared" si="3"/>
        <v>129.05893483796856</v>
      </c>
    </row>
    <row r="37" spans="1:5" ht="12.75" customHeight="1" x14ac:dyDescent="0.2">
      <c r="A37" s="11">
        <v>0.6</v>
      </c>
      <c r="B37" s="12">
        <f t="shared" si="0"/>
        <v>29.1</v>
      </c>
      <c r="C37" s="13">
        <f t="shared" si="1"/>
        <v>2.3110243902439027</v>
      </c>
      <c r="D37" s="15">
        <f t="shared" si="2"/>
        <v>133.71859510546011</v>
      </c>
      <c r="E37" s="15">
        <f t="shared" si="3"/>
        <v>133.71859510546011</v>
      </c>
    </row>
    <row r="38" spans="1:5" ht="12.75" customHeight="1" x14ac:dyDescent="0.2">
      <c r="A38" s="11">
        <v>0.65</v>
      </c>
      <c r="B38" s="12">
        <f t="shared" si="0"/>
        <v>27.6</v>
      </c>
      <c r="C38" s="13">
        <f t="shared" si="1"/>
        <v>2.2846829268292685</v>
      </c>
      <c r="D38" s="15">
        <f t="shared" si="2"/>
        <v>138.17105065298037</v>
      </c>
      <c r="E38" s="15">
        <f t="shared" si="3"/>
        <v>138.17105065298037</v>
      </c>
    </row>
    <row r="39" spans="1:5" ht="12.75" customHeight="1" x14ac:dyDescent="0.2">
      <c r="A39" s="11">
        <v>0.7</v>
      </c>
      <c r="B39" s="12">
        <f t="shared" si="0"/>
        <v>26.1</v>
      </c>
      <c r="C39" s="13">
        <f t="shared" si="1"/>
        <v>2.2583414634146344</v>
      </c>
      <c r="D39" s="15">
        <f t="shared" si="2"/>
        <v>142.43573409163332</v>
      </c>
      <c r="E39" s="15">
        <f t="shared" si="3"/>
        <v>142.43573409163332</v>
      </c>
    </row>
    <row r="40" spans="1:5" ht="12.75" customHeight="1" x14ac:dyDescent="0.2">
      <c r="A40" s="11">
        <v>0.75</v>
      </c>
      <c r="B40" s="12">
        <f t="shared" si="0"/>
        <v>24.6</v>
      </c>
      <c r="C40" s="13">
        <f t="shared" si="1"/>
        <v>2.2320000000000002</v>
      </c>
      <c r="D40" s="15">
        <f t="shared" si="2"/>
        <v>146.52904149007458</v>
      </c>
      <c r="E40" s="15">
        <f t="shared" si="3"/>
        <v>146.52904149007458</v>
      </c>
    </row>
    <row r="41" spans="1:5" ht="12.75" customHeight="1" x14ac:dyDescent="0.2">
      <c r="A41" s="11">
        <v>0.8</v>
      </c>
      <c r="B41" s="12">
        <f t="shared" si="0"/>
        <v>23.1</v>
      </c>
      <c r="C41" s="13">
        <f t="shared" si="1"/>
        <v>2.205658536585366</v>
      </c>
      <c r="D41" s="15">
        <f t="shared" si="2"/>
        <v>150.46496004014028</v>
      </c>
      <c r="E41" s="15">
        <f t="shared" si="3"/>
        <v>150.46496004014028</v>
      </c>
    </row>
    <row r="42" spans="1:5" ht="12.75" customHeight="1" x14ac:dyDescent="0.2">
      <c r="A42" s="11">
        <v>0.85</v>
      </c>
      <c r="B42" s="12">
        <f t="shared" si="0"/>
        <v>21.6</v>
      </c>
      <c r="C42" s="13">
        <f t="shared" si="1"/>
        <v>2.1793170731707319</v>
      </c>
      <c r="D42" s="15">
        <f t="shared" si="2"/>
        <v>154.25553781263594</v>
      </c>
      <c r="E42" s="15">
        <f t="shared" si="3"/>
        <v>154.25553781263594</v>
      </c>
    </row>
    <row r="43" spans="1:5" ht="12.75" customHeight="1" x14ac:dyDescent="0.2">
      <c r="A43" s="11">
        <v>0.9</v>
      </c>
      <c r="B43" s="12">
        <f t="shared" si="0"/>
        <v>20.100000000000001</v>
      </c>
      <c r="C43" s="13">
        <f t="shared" si="1"/>
        <v>2.1529756097560977</v>
      </c>
      <c r="D43" s="15">
        <f t="shared" si="2"/>
        <v>157.91124164527866</v>
      </c>
      <c r="E43" s="15">
        <f t="shared" si="3"/>
        <v>155</v>
      </c>
    </row>
    <row r="44" spans="1:5" ht="12.75" customHeight="1" x14ac:dyDescent="0.2">
      <c r="A44" s="11">
        <v>0.95</v>
      </c>
      <c r="B44" s="12">
        <f t="shared" si="0"/>
        <v>18.600000000000001</v>
      </c>
      <c r="C44" s="13">
        <f t="shared" si="1"/>
        <v>2.1266341463414635</v>
      </c>
      <c r="D44" s="15">
        <f t="shared" si="2"/>
        <v>161.44123412605944</v>
      </c>
      <c r="E44" s="15">
        <f t="shared" si="3"/>
        <v>155</v>
      </c>
    </row>
    <row r="45" spans="1:5" ht="12.75" customHeight="1" x14ac:dyDescent="0.2">
      <c r="A45" s="11">
        <v>1</v>
      </c>
      <c r="B45" s="12">
        <f t="shared" si="0"/>
        <v>17.100000000000001</v>
      </c>
      <c r="C45" s="13">
        <f t="shared" si="1"/>
        <v>2.1002926829268294</v>
      </c>
      <c r="D45" s="15">
        <f t="shared" si="2"/>
        <v>164.8535909843647</v>
      </c>
      <c r="E45" s="15">
        <f t="shared" si="3"/>
        <v>155</v>
      </c>
    </row>
    <row r="46" spans="1:5" ht="12.75" customHeight="1" x14ac:dyDescent="0.2">
      <c r="A46" s="11">
        <v>1.05</v>
      </c>
      <c r="B46" s="12">
        <f t="shared" si="0"/>
        <v>15.600000000000001</v>
      </c>
      <c r="C46" s="13">
        <f t="shared" si="1"/>
        <v>2.0739512195121952</v>
      </c>
      <c r="D46" s="15">
        <f t="shared" si="2"/>
        <v>168.15547386522621</v>
      </c>
      <c r="E46" s="15">
        <f t="shared" si="3"/>
        <v>155</v>
      </c>
    </row>
    <row r="47" spans="1:5" ht="12.75" customHeight="1" x14ac:dyDescent="0.2">
      <c r="A47" s="11">
        <v>1.1000000000000001</v>
      </c>
      <c r="B47" s="12">
        <f t="shared" si="0"/>
        <v>14.100000000000001</v>
      </c>
      <c r="C47" s="13">
        <f t="shared" si="1"/>
        <v>2.047609756097561</v>
      </c>
      <c r="D47" s="15">
        <f t="shared" si="2"/>
        <v>171.35326920529081</v>
      </c>
      <c r="E47" s="15">
        <f t="shared" si="3"/>
        <v>155</v>
      </c>
    </row>
    <row r="48" spans="1:5" ht="12.75" customHeight="1" x14ac:dyDescent="0.2">
      <c r="A48" s="11">
        <v>1.1499999999999999</v>
      </c>
      <c r="B48" s="12">
        <f t="shared" si="0"/>
        <v>12.600000000000001</v>
      </c>
      <c r="C48" s="13">
        <f t="shared" si="1"/>
        <v>2.0212682926829268</v>
      </c>
      <c r="D48" s="15">
        <f t="shared" si="2"/>
        <v>174.45270101075093</v>
      </c>
      <c r="E48" s="15">
        <f t="shared" si="3"/>
        <v>155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B2" sqref="B2"/>
    </sheetView>
  </sheetViews>
  <sheetFormatPr baseColWidth="10" defaultColWidth="12.5703125" defaultRowHeight="15" customHeight="1" x14ac:dyDescent="0.2"/>
  <cols>
    <col min="1" max="1" width="40.28515625" customWidth="1"/>
    <col min="2" max="2" width="18.42578125" customWidth="1"/>
    <col min="3" max="3" width="15.85546875" customWidth="1"/>
    <col min="4" max="5" width="11.5703125" customWidth="1"/>
    <col min="6" max="6" width="11.42578125" customWidth="1"/>
    <col min="7" max="26" width="8.5703125" customWidth="1"/>
  </cols>
  <sheetData>
    <row r="1" spans="1:2" ht="12.75" customHeight="1" x14ac:dyDescent="0.2">
      <c r="A1" s="1" t="s">
        <v>138</v>
      </c>
      <c r="B1" s="7">
        <f>Chart!$B$8</f>
        <v>0</v>
      </c>
    </row>
    <row r="2" spans="1:2" ht="12.75" customHeight="1" x14ac:dyDescent="0.2">
      <c r="A2" s="1" t="s">
        <v>139</v>
      </c>
      <c r="B2" s="8">
        <f>Chart!$D$8</f>
        <v>0</v>
      </c>
    </row>
    <row r="3" spans="1:2" ht="12.75" customHeight="1" x14ac:dyDescent="0.2">
      <c r="A3" s="1" t="s">
        <v>140</v>
      </c>
      <c r="B3" s="8">
        <f>Chart!$C$8</f>
        <v>0</v>
      </c>
    </row>
    <row r="4" spans="1:2" ht="12.75" customHeight="1" x14ac:dyDescent="0.2">
      <c r="A4" s="1" t="s">
        <v>141</v>
      </c>
      <c r="B4" s="9">
        <v>1.2</v>
      </c>
    </row>
    <row r="5" spans="1:2" ht="12.75" customHeight="1" x14ac:dyDescent="0.2">
      <c r="A5" s="1" t="s">
        <v>142</v>
      </c>
      <c r="B5" s="9">
        <v>26.4</v>
      </c>
    </row>
    <row r="6" spans="1:2" ht="12.75" customHeight="1" x14ac:dyDescent="0.2">
      <c r="A6" s="1" t="s">
        <v>143</v>
      </c>
      <c r="B6" s="5" t="e">
        <f>LOOKUP(LEFT(Chart!$B$8,1),'Needle Data'!$J2:$J3,'Needle Data'!$K2:$K3)</f>
        <v>#N/A</v>
      </c>
    </row>
    <row r="7" spans="1:2" ht="12.75" customHeight="1" x14ac:dyDescent="0.2">
      <c r="A7" s="1" t="s">
        <v>144</v>
      </c>
      <c r="B7" s="10" t="e">
        <f>$B$6 - $B$5 - ($B$3-1)*$B$4 + $B$18 + ($B$2 - 34)/2</f>
        <v>#N/A</v>
      </c>
    </row>
    <row r="8" spans="1:2" ht="12.75" customHeight="1" x14ac:dyDescent="0.2">
      <c r="A8" s="1" t="s">
        <v>17</v>
      </c>
      <c r="B8" s="5" t="e">
        <f>VLOOKUP($B$1,'Needle Data'!$A$2:$G$113,2,0)</f>
        <v>#N/A</v>
      </c>
    </row>
    <row r="9" spans="1:2" ht="12.75" customHeight="1" x14ac:dyDescent="0.2">
      <c r="A9" s="1" t="s">
        <v>18</v>
      </c>
      <c r="B9" s="5" t="e">
        <f>VLOOKUP($B$1,'Needle Data'!$A$2:$G$113,3,0)</f>
        <v>#N/A</v>
      </c>
    </row>
    <row r="10" spans="1:2" ht="12.75" customHeight="1" x14ac:dyDescent="0.2">
      <c r="A10" s="1" t="s">
        <v>19</v>
      </c>
      <c r="B10" s="5" t="e">
        <f>VLOOKUP($B$1,'Needle Data'!$A$2:$G$113,4,0)</f>
        <v>#N/A</v>
      </c>
    </row>
    <row r="11" spans="1:2" ht="12.75" customHeight="1" x14ac:dyDescent="0.2">
      <c r="A11" s="1" t="s">
        <v>20</v>
      </c>
      <c r="B11" s="5" t="e">
        <f>VLOOKUP($B$1,'Needle Data'!$A$2:$G$113,5,0)</f>
        <v>#N/A</v>
      </c>
    </row>
    <row r="12" spans="1:2" ht="12.75" customHeight="1" x14ac:dyDescent="0.2">
      <c r="A12" s="1" t="s">
        <v>21</v>
      </c>
      <c r="B12" s="5" t="e">
        <f>VLOOKUP($B$1,'Needle Data'!$A$2:$G$113,6,0)</f>
        <v>#N/A</v>
      </c>
    </row>
    <row r="13" spans="1:2" ht="12.75" customHeight="1" x14ac:dyDescent="0.2">
      <c r="A13" s="1" t="s">
        <v>22</v>
      </c>
      <c r="B13" s="5" t="e">
        <f>VLOOKUP($B$1,'Needle Data'!$A$2:$G$113,7,0)</f>
        <v>#N/A</v>
      </c>
    </row>
    <row r="14" spans="1:2" ht="12.75" customHeight="1" x14ac:dyDescent="0.2">
      <c r="A14" s="1" t="s">
        <v>145</v>
      </c>
      <c r="B14" s="5" t="e">
        <f>IF($B$13,3,IF($B$12,2,1))</f>
        <v>#N/A</v>
      </c>
    </row>
    <row r="15" spans="1:2" ht="12.75" customHeight="1" x14ac:dyDescent="0.2">
      <c r="A15" s="1" t="s">
        <v>6</v>
      </c>
      <c r="B15" s="5">
        <f>Chart!$E$8</f>
        <v>0</v>
      </c>
    </row>
    <row r="16" spans="1:2" ht="12.75" customHeight="1" x14ac:dyDescent="0.2">
      <c r="A16" s="1" t="s">
        <v>10</v>
      </c>
      <c r="B16" s="5">
        <f>Chart!$I$8</f>
        <v>0</v>
      </c>
    </row>
    <row r="17" spans="1:5" ht="12.75" customHeight="1" x14ac:dyDescent="0.2">
      <c r="A17" s="1" t="s">
        <v>9</v>
      </c>
      <c r="B17" s="5">
        <f>Chart!$H$8</f>
        <v>0</v>
      </c>
    </row>
    <row r="18" spans="1:5" ht="12.75" customHeight="1" x14ac:dyDescent="0.2">
      <c r="A18" s="1" t="s">
        <v>146</v>
      </c>
      <c r="B18" s="10" t="e">
        <f>LOOKUP(Chart!$F$8,'Needle Data'!$M2:$M4,'Needle Data'!$N2:$N4)</f>
        <v>#N/A</v>
      </c>
    </row>
    <row r="19" spans="1:5" ht="12.75" customHeight="1" x14ac:dyDescent="0.2"/>
    <row r="20" spans="1:5" ht="12.75" customHeight="1" x14ac:dyDescent="0.2">
      <c r="A20" s="2" t="s">
        <v>147</v>
      </c>
      <c r="B20" s="2" t="s">
        <v>148</v>
      </c>
      <c r="C20" s="2" t="s">
        <v>20</v>
      </c>
    </row>
    <row r="21" spans="1:5" ht="12.75" customHeight="1" x14ac:dyDescent="0.2">
      <c r="A21" s="2">
        <v>1</v>
      </c>
      <c r="B21" s="3" t="e">
        <f>IF(B$14=1,(B$8-B$9)/B$10,(B$8-B$11)/(B$10-B$12))</f>
        <v>#N/A</v>
      </c>
      <c r="C21" s="3" t="e">
        <f>IF(B$14=1,B$9,B$11)</f>
        <v>#N/A</v>
      </c>
    </row>
    <row r="22" spans="1:5" ht="12.75" customHeight="1" x14ac:dyDescent="0.2">
      <c r="A22" s="2">
        <v>2</v>
      </c>
      <c r="B22" s="3" t="e">
        <f>IF(B$14=1,0,(B$11-B$9)/(B$12-B$13))</f>
        <v>#N/A</v>
      </c>
      <c r="C22" s="3" t="e">
        <f>IF(B$14=1,0,B$9)</f>
        <v>#N/A</v>
      </c>
    </row>
    <row r="23" spans="1:5" ht="12.75" customHeight="1" x14ac:dyDescent="0.2"/>
    <row r="24" spans="1:5" ht="12.75" customHeight="1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</row>
    <row r="25" spans="1:5" ht="12.75" customHeight="1" x14ac:dyDescent="0.2">
      <c r="A25" s="11">
        <v>0</v>
      </c>
      <c r="B25" s="12" t="e">
        <f t="shared" ref="B25:B48" si="0">$B$7-$A25*$B$2</f>
        <v>#N/A</v>
      </c>
      <c r="C25" s="13" t="e">
        <f t="shared" ref="C25:C48" si="1">IF($B25&gt;B$10,B$8,IF($B25&lt;0,0,IF($B25&lt;B$13,B$9,IF($B25&lt;=B$12,B$22*($B25-B$13)+B$9,B$21*($B25-B$12)+C$21))))</f>
        <v>#N/A</v>
      </c>
      <c r="D25" s="14" t="e">
        <f t="shared" ref="D25:D48" si="2">SQRT($B$15^2-($C25*100)^2)</f>
        <v>#N/A</v>
      </c>
      <c r="E25" s="15" t="e">
        <f>$B$17*1+$D25*0</f>
        <v>#N/A</v>
      </c>
    </row>
    <row r="26" spans="1:5" ht="12.75" customHeight="1" x14ac:dyDescent="0.2">
      <c r="A26" s="11">
        <v>0.05</v>
      </c>
      <c r="B26" s="12" t="e">
        <f t="shared" si="0"/>
        <v>#N/A</v>
      </c>
      <c r="C26" s="13" t="e">
        <f t="shared" si="1"/>
        <v>#N/A</v>
      </c>
      <c r="D26" s="15" t="e">
        <f t="shared" si="2"/>
        <v>#N/A</v>
      </c>
      <c r="E26" s="15" t="e">
        <f>$B$17*0.8+$D26*0.2</f>
        <v>#N/A</v>
      </c>
    </row>
    <row r="27" spans="1:5" ht="12.75" customHeight="1" x14ac:dyDescent="0.2">
      <c r="A27" s="11">
        <v>0.1</v>
      </c>
      <c r="B27" s="12" t="e">
        <f t="shared" si="0"/>
        <v>#N/A</v>
      </c>
      <c r="C27" s="13" t="e">
        <f t="shared" si="1"/>
        <v>#N/A</v>
      </c>
      <c r="D27" s="15" t="e">
        <f t="shared" si="2"/>
        <v>#N/A</v>
      </c>
      <c r="E27" s="15" t="e">
        <f>$B$17*0.6+$D27*0.4</f>
        <v>#N/A</v>
      </c>
    </row>
    <row r="28" spans="1:5" ht="12.75" customHeight="1" x14ac:dyDescent="0.2">
      <c r="A28" s="11">
        <v>0.15</v>
      </c>
      <c r="B28" s="12" t="e">
        <f t="shared" si="0"/>
        <v>#N/A</v>
      </c>
      <c r="C28" s="13" t="e">
        <f t="shared" si="1"/>
        <v>#N/A</v>
      </c>
      <c r="D28" s="15" t="e">
        <f t="shared" si="2"/>
        <v>#N/A</v>
      </c>
      <c r="E28" s="15" t="e">
        <f>$B$17*0.4+$D28*0.6</f>
        <v>#N/A</v>
      </c>
    </row>
    <row r="29" spans="1:5" ht="12.75" customHeight="1" x14ac:dyDescent="0.2">
      <c r="A29" s="11">
        <v>0.2</v>
      </c>
      <c r="B29" s="12" t="e">
        <f t="shared" si="0"/>
        <v>#N/A</v>
      </c>
      <c r="C29" s="13" t="e">
        <f t="shared" si="1"/>
        <v>#N/A</v>
      </c>
      <c r="D29" s="15" t="e">
        <f t="shared" si="2"/>
        <v>#N/A</v>
      </c>
      <c r="E29" s="15" t="e">
        <f>$B$17*0.2+$D29*0.8</f>
        <v>#N/A</v>
      </c>
    </row>
    <row r="30" spans="1:5" ht="12.75" customHeight="1" x14ac:dyDescent="0.2">
      <c r="A30" s="11">
        <v>0.25</v>
      </c>
      <c r="B30" s="12" t="e">
        <f t="shared" si="0"/>
        <v>#N/A</v>
      </c>
      <c r="C30" s="13" t="e">
        <f t="shared" si="1"/>
        <v>#N/A</v>
      </c>
      <c r="D30" s="15" t="e">
        <f t="shared" si="2"/>
        <v>#N/A</v>
      </c>
      <c r="E30" s="15" t="e">
        <f>$B$17*0.1+$D30*0.9</f>
        <v>#N/A</v>
      </c>
    </row>
    <row r="31" spans="1:5" ht="12.75" customHeight="1" x14ac:dyDescent="0.2">
      <c r="A31" s="11">
        <v>0.3</v>
      </c>
      <c r="B31" s="12" t="e">
        <f t="shared" si="0"/>
        <v>#N/A</v>
      </c>
      <c r="C31" s="13" t="e">
        <f t="shared" si="1"/>
        <v>#N/A</v>
      </c>
      <c r="D31" s="15" t="e">
        <f t="shared" si="2"/>
        <v>#N/A</v>
      </c>
      <c r="E31" s="15" t="e">
        <f>$B$17*0.05+$D31*0.95</f>
        <v>#N/A</v>
      </c>
    </row>
    <row r="32" spans="1:5" ht="12.75" customHeight="1" x14ac:dyDescent="0.2">
      <c r="A32" s="11">
        <v>0.35</v>
      </c>
      <c r="B32" s="12" t="e">
        <f t="shared" si="0"/>
        <v>#N/A</v>
      </c>
      <c r="C32" s="13" t="e">
        <f t="shared" si="1"/>
        <v>#N/A</v>
      </c>
      <c r="D32" s="15" t="e">
        <f t="shared" si="2"/>
        <v>#N/A</v>
      </c>
      <c r="E32" s="15" t="e">
        <f t="shared" ref="E32:E48" si="3">IF($B$16&lt;$D32,$B$16,$D32)</f>
        <v>#N/A</v>
      </c>
    </row>
    <row r="33" spans="1:5" ht="12.75" customHeight="1" x14ac:dyDescent="0.2">
      <c r="A33" s="11">
        <v>0.4</v>
      </c>
      <c r="B33" s="12" t="e">
        <f t="shared" si="0"/>
        <v>#N/A</v>
      </c>
      <c r="C33" s="13" t="e">
        <f t="shared" si="1"/>
        <v>#N/A</v>
      </c>
      <c r="D33" s="15" t="e">
        <f t="shared" si="2"/>
        <v>#N/A</v>
      </c>
      <c r="E33" s="15" t="e">
        <f t="shared" si="3"/>
        <v>#N/A</v>
      </c>
    </row>
    <row r="34" spans="1:5" ht="12.75" customHeight="1" x14ac:dyDescent="0.2">
      <c r="A34" s="11">
        <v>0.45</v>
      </c>
      <c r="B34" s="12" t="e">
        <f t="shared" si="0"/>
        <v>#N/A</v>
      </c>
      <c r="C34" s="13" t="e">
        <f t="shared" si="1"/>
        <v>#N/A</v>
      </c>
      <c r="D34" s="15" t="e">
        <f t="shared" si="2"/>
        <v>#N/A</v>
      </c>
      <c r="E34" s="15" t="e">
        <f t="shared" si="3"/>
        <v>#N/A</v>
      </c>
    </row>
    <row r="35" spans="1:5" ht="12.75" customHeight="1" x14ac:dyDescent="0.2">
      <c r="A35" s="11">
        <v>0.5</v>
      </c>
      <c r="B35" s="12" t="e">
        <f t="shared" si="0"/>
        <v>#N/A</v>
      </c>
      <c r="C35" s="13" t="e">
        <f t="shared" si="1"/>
        <v>#N/A</v>
      </c>
      <c r="D35" s="15" t="e">
        <f t="shared" si="2"/>
        <v>#N/A</v>
      </c>
      <c r="E35" s="15" t="e">
        <f t="shared" si="3"/>
        <v>#N/A</v>
      </c>
    </row>
    <row r="36" spans="1:5" ht="12.75" customHeight="1" x14ac:dyDescent="0.2">
      <c r="A36" s="11">
        <v>0.55000000000000004</v>
      </c>
      <c r="B36" s="12" t="e">
        <f t="shared" si="0"/>
        <v>#N/A</v>
      </c>
      <c r="C36" s="13" t="e">
        <f t="shared" si="1"/>
        <v>#N/A</v>
      </c>
      <c r="D36" s="15" t="e">
        <f t="shared" si="2"/>
        <v>#N/A</v>
      </c>
      <c r="E36" s="15" t="e">
        <f t="shared" si="3"/>
        <v>#N/A</v>
      </c>
    </row>
    <row r="37" spans="1:5" ht="12.75" customHeight="1" x14ac:dyDescent="0.2">
      <c r="A37" s="11">
        <v>0.6</v>
      </c>
      <c r="B37" s="12" t="e">
        <f t="shared" si="0"/>
        <v>#N/A</v>
      </c>
      <c r="C37" s="13" t="e">
        <f t="shared" si="1"/>
        <v>#N/A</v>
      </c>
      <c r="D37" s="15" t="e">
        <f t="shared" si="2"/>
        <v>#N/A</v>
      </c>
      <c r="E37" s="15" t="e">
        <f t="shared" si="3"/>
        <v>#N/A</v>
      </c>
    </row>
    <row r="38" spans="1:5" ht="12.75" customHeight="1" x14ac:dyDescent="0.2">
      <c r="A38" s="11">
        <v>0.65</v>
      </c>
      <c r="B38" s="12" t="e">
        <f t="shared" si="0"/>
        <v>#N/A</v>
      </c>
      <c r="C38" s="13" t="e">
        <f t="shared" si="1"/>
        <v>#N/A</v>
      </c>
      <c r="D38" s="15" t="e">
        <f t="shared" si="2"/>
        <v>#N/A</v>
      </c>
      <c r="E38" s="15" t="e">
        <f t="shared" si="3"/>
        <v>#N/A</v>
      </c>
    </row>
    <row r="39" spans="1:5" ht="12.75" customHeight="1" x14ac:dyDescent="0.2">
      <c r="A39" s="11">
        <v>0.7</v>
      </c>
      <c r="B39" s="12" t="e">
        <f t="shared" si="0"/>
        <v>#N/A</v>
      </c>
      <c r="C39" s="13" t="e">
        <f t="shared" si="1"/>
        <v>#N/A</v>
      </c>
      <c r="D39" s="15" t="e">
        <f t="shared" si="2"/>
        <v>#N/A</v>
      </c>
      <c r="E39" s="15" t="e">
        <f t="shared" si="3"/>
        <v>#N/A</v>
      </c>
    </row>
    <row r="40" spans="1:5" ht="12.75" customHeight="1" x14ac:dyDescent="0.2">
      <c r="A40" s="11">
        <v>0.75</v>
      </c>
      <c r="B40" s="12" t="e">
        <f t="shared" si="0"/>
        <v>#N/A</v>
      </c>
      <c r="C40" s="13" t="e">
        <f t="shared" si="1"/>
        <v>#N/A</v>
      </c>
      <c r="D40" s="15" t="e">
        <f t="shared" si="2"/>
        <v>#N/A</v>
      </c>
      <c r="E40" s="15" t="e">
        <f t="shared" si="3"/>
        <v>#N/A</v>
      </c>
    </row>
    <row r="41" spans="1:5" ht="12.75" customHeight="1" x14ac:dyDescent="0.2">
      <c r="A41" s="11">
        <v>0.8</v>
      </c>
      <c r="B41" s="12" t="e">
        <f t="shared" si="0"/>
        <v>#N/A</v>
      </c>
      <c r="C41" s="13" t="e">
        <f t="shared" si="1"/>
        <v>#N/A</v>
      </c>
      <c r="D41" s="15" t="e">
        <f t="shared" si="2"/>
        <v>#N/A</v>
      </c>
      <c r="E41" s="15" t="e">
        <f t="shared" si="3"/>
        <v>#N/A</v>
      </c>
    </row>
    <row r="42" spans="1:5" ht="12.75" customHeight="1" x14ac:dyDescent="0.2">
      <c r="A42" s="11">
        <v>0.85</v>
      </c>
      <c r="B42" s="12" t="e">
        <f t="shared" si="0"/>
        <v>#N/A</v>
      </c>
      <c r="C42" s="13" t="e">
        <f t="shared" si="1"/>
        <v>#N/A</v>
      </c>
      <c r="D42" s="15" t="e">
        <f t="shared" si="2"/>
        <v>#N/A</v>
      </c>
      <c r="E42" s="15" t="e">
        <f t="shared" si="3"/>
        <v>#N/A</v>
      </c>
    </row>
    <row r="43" spans="1:5" ht="12.75" customHeight="1" x14ac:dyDescent="0.2">
      <c r="A43" s="11">
        <v>0.9</v>
      </c>
      <c r="B43" s="12" t="e">
        <f t="shared" si="0"/>
        <v>#N/A</v>
      </c>
      <c r="C43" s="13" t="e">
        <f t="shared" si="1"/>
        <v>#N/A</v>
      </c>
      <c r="D43" s="15" t="e">
        <f t="shared" si="2"/>
        <v>#N/A</v>
      </c>
      <c r="E43" s="15" t="e">
        <f t="shared" si="3"/>
        <v>#N/A</v>
      </c>
    </row>
    <row r="44" spans="1:5" ht="12.75" customHeight="1" x14ac:dyDescent="0.2">
      <c r="A44" s="11">
        <v>0.95</v>
      </c>
      <c r="B44" s="12" t="e">
        <f t="shared" si="0"/>
        <v>#N/A</v>
      </c>
      <c r="C44" s="13" t="e">
        <f t="shared" si="1"/>
        <v>#N/A</v>
      </c>
      <c r="D44" s="15" t="e">
        <f t="shared" si="2"/>
        <v>#N/A</v>
      </c>
      <c r="E44" s="15" t="e">
        <f t="shared" si="3"/>
        <v>#N/A</v>
      </c>
    </row>
    <row r="45" spans="1:5" ht="12.75" customHeight="1" x14ac:dyDescent="0.2">
      <c r="A45" s="11">
        <v>1</v>
      </c>
      <c r="B45" s="12" t="e">
        <f t="shared" si="0"/>
        <v>#N/A</v>
      </c>
      <c r="C45" s="13" t="e">
        <f t="shared" si="1"/>
        <v>#N/A</v>
      </c>
      <c r="D45" s="15" t="e">
        <f t="shared" si="2"/>
        <v>#N/A</v>
      </c>
      <c r="E45" s="15" t="e">
        <f t="shared" si="3"/>
        <v>#N/A</v>
      </c>
    </row>
    <row r="46" spans="1:5" ht="12.75" customHeight="1" x14ac:dyDescent="0.2">
      <c r="A46" s="11">
        <v>1.05</v>
      </c>
      <c r="B46" s="12" t="e">
        <f t="shared" si="0"/>
        <v>#N/A</v>
      </c>
      <c r="C46" s="13" t="e">
        <f t="shared" si="1"/>
        <v>#N/A</v>
      </c>
      <c r="D46" s="15" t="e">
        <f t="shared" si="2"/>
        <v>#N/A</v>
      </c>
      <c r="E46" s="15" t="e">
        <f t="shared" si="3"/>
        <v>#N/A</v>
      </c>
    </row>
    <row r="47" spans="1:5" ht="12.75" customHeight="1" x14ac:dyDescent="0.2">
      <c r="A47" s="11">
        <v>1.1000000000000001</v>
      </c>
      <c r="B47" s="12" t="e">
        <f t="shared" si="0"/>
        <v>#N/A</v>
      </c>
      <c r="C47" s="13" t="e">
        <f t="shared" si="1"/>
        <v>#N/A</v>
      </c>
      <c r="D47" s="15" t="e">
        <f t="shared" si="2"/>
        <v>#N/A</v>
      </c>
      <c r="E47" s="15" t="e">
        <f t="shared" si="3"/>
        <v>#N/A</v>
      </c>
    </row>
    <row r="48" spans="1:5" ht="12.75" customHeight="1" x14ac:dyDescent="0.2">
      <c r="A48" s="11">
        <v>1.1499999999999999</v>
      </c>
      <c r="B48" s="12" t="e">
        <f t="shared" si="0"/>
        <v>#N/A</v>
      </c>
      <c r="C48" s="13" t="e">
        <f t="shared" si="1"/>
        <v>#N/A</v>
      </c>
      <c r="D48" s="15" t="e">
        <f t="shared" si="2"/>
        <v>#N/A</v>
      </c>
      <c r="E48" s="15" t="e">
        <f t="shared" si="3"/>
        <v>#N/A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2.5703125" defaultRowHeight="15" customHeight="1" x14ac:dyDescent="0.2"/>
  <cols>
    <col min="1" max="1" width="40.28515625" customWidth="1"/>
    <col min="2" max="2" width="18.42578125" customWidth="1"/>
    <col min="3" max="3" width="15.85546875" customWidth="1"/>
    <col min="4" max="5" width="11.5703125" customWidth="1"/>
    <col min="6" max="6" width="11.42578125" customWidth="1"/>
    <col min="7" max="26" width="8.5703125" customWidth="1"/>
  </cols>
  <sheetData>
    <row r="1" spans="1:2" ht="12.75" customHeight="1" x14ac:dyDescent="0.2">
      <c r="A1" s="1" t="s">
        <v>138</v>
      </c>
      <c r="B1" s="7">
        <f>Chart!$B$9</f>
        <v>0</v>
      </c>
    </row>
    <row r="2" spans="1:2" ht="12.75" customHeight="1" x14ac:dyDescent="0.2">
      <c r="A2" s="1" t="s">
        <v>139</v>
      </c>
      <c r="B2" s="8">
        <f>Chart!$D$9</f>
        <v>0</v>
      </c>
    </row>
    <row r="3" spans="1:2" ht="12.75" customHeight="1" x14ac:dyDescent="0.2">
      <c r="A3" s="1" t="s">
        <v>140</v>
      </c>
      <c r="B3" s="8">
        <f>Chart!$C$9</f>
        <v>0</v>
      </c>
    </row>
    <row r="4" spans="1:2" ht="12.75" customHeight="1" x14ac:dyDescent="0.2">
      <c r="A4" s="1" t="s">
        <v>141</v>
      </c>
      <c r="B4" s="9">
        <v>1.2</v>
      </c>
    </row>
    <row r="5" spans="1:2" ht="12.75" customHeight="1" x14ac:dyDescent="0.2">
      <c r="A5" s="1" t="s">
        <v>142</v>
      </c>
      <c r="B5" s="9">
        <v>26.4</v>
      </c>
    </row>
    <row r="6" spans="1:2" ht="12.75" customHeight="1" x14ac:dyDescent="0.2">
      <c r="A6" s="1" t="s">
        <v>143</v>
      </c>
      <c r="B6" s="5" t="e">
        <f>LOOKUP(LEFT(Chart!$B$9,1),'Needle Data'!$J2:$J3,'Needle Data'!$K2:$K3)</f>
        <v>#N/A</v>
      </c>
    </row>
    <row r="7" spans="1:2" ht="12.75" customHeight="1" x14ac:dyDescent="0.2">
      <c r="A7" s="1" t="s">
        <v>144</v>
      </c>
      <c r="B7" s="10" t="e">
        <f>$B$6 - $B$5 - ($B$3-1)*$B$4 + $B$18 + ($B$2 - 34)/2</f>
        <v>#N/A</v>
      </c>
    </row>
    <row r="8" spans="1:2" ht="12.75" customHeight="1" x14ac:dyDescent="0.2">
      <c r="A8" s="1" t="s">
        <v>17</v>
      </c>
      <c r="B8" s="5" t="e">
        <f>VLOOKUP($B$1,'Needle Data'!$A$2:$G$113,2,0)</f>
        <v>#N/A</v>
      </c>
    </row>
    <row r="9" spans="1:2" ht="12.75" customHeight="1" x14ac:dyDescent="0.2">
      <c r="A9" s="1" t="s">
        <v>18</v>
      </c>
      <c r="B9" s="5" t="e">
        <f>VLOOKUP($B$1,'Needle Data'!$A$2:$G$113,3,0)</f>
        <v>#N/A</v>
      </c>
    </row>
    <row r="10" spans="1:2" ht="12.75" customHeight="1" x14ac:dyDescent="0.2">
      <c r="A10" s="1" t="s">
        <v>19</v>
      </c>
      <c r="B10" s="5" t="e">
        <f>VLOOKUP($B$1,'Needle Data'!$A$2:$G$113,4,0)</f>
        <v>#N/A</v>
      </c>
    </row>
    <row r="11" spans="1:2" ht="12.75" customHeight="1" x14ac:dyDescent="0.2">
      <c r="A11" s="1" t="s">
        <v>20</v>
      </c>
      <c r="B11" s="5" t="e">
        <f>VLOOKUP($B$1,'Needle Data'!$A$2:$G$113,5,0)</f>
        <v>#N/A</v>
      </c>
    </row>
    <row r="12" spans="1:2" ht="12.75" customHeight="1" x14ac:dyDescent="0.2">
      <c r="A12" s="1" t="s">
        <v>21</v>
      </c>
      <c r="B12" s="5" t="e">
        <f>VLOOKUP($B$1,'Needle Data'!$A$2:$G$113,6,0)</f>
        <v>#N/A</v>
      </c>
    </row>
    <row r="13" spans="1:2" ht="12.75" customHeight="1" x14ac:dyDescent="0.2">
      <c r="A13" s="1" t="s">
        <v>22</v>
      </c>
      <c r="B13" s="5" t="e">
        <f>VLOOKUP($B$1,'Needle Data'!$A$2:$G$113,7,0)</f>
        <v>#N/A</v>
      </c>
    </row>
    <row r="14" spans="1:2" ht="12.75" customHeight="1" x14ac:dyDescent="0.2">
      <c r="A14" s="1" t="s">
        <v>145</v>
      </c>
      <c r="B14" s="5" t="e">
        <f>IF($B$13,3,IF($B$12,2,1))</f>
        <v>#N/A</v>
      </c>
    </row>
    <row r="15" spans="1:2" ht="12.75" customHeight="1" x14ac:dyDescent="0.2">
      <c r="A15" s="1" t="s">
        <v>6</v>
      </c>
      <c r="B15" s="5">
        <f>Chart!$E$9</f>
        <v>0</v>
      </c>
    </row>
    <row r="16" spans="1:2" ht="12.75" customHeight="1" x14ac:dyDescent="0.2">
      <c r="A16" s="1" t="s">
        <v>10</v>
      </c>
      <c r="B16" s="5">
        <f>Chart!$I$9</f>
        <v>0</v>
      </c>
    </row>
    <row r="17" spans="1:5" ht="12.75" customHeight="1" x14ac:dyDescent="0.2">
      <c r="A17" s="1" t="s">
        <v>9</v>
      </c>
      <c r="B17" s="5">
        <f>Chart!$H$9</f>
        <v>0</v>
      </c>
    </row>
    <row r="18" spans="1:5" ht="12.75" customHeight="1" x14ac:dyDescent="0.2">
      <c r="A18" s="1" t="s">
        <v>146</v>
      </c>
      <c r="B18" s="10" t="e">
        <f>LOOKUP(Chart!$F$9,'Needle Data'!$M2:$M4,'Needle Data'!$N2:$N4)</f>
        <v>#N/A</v>
      </c>
    </row>
    <row r="19" spans="1:5" ht="12.75" customHeight="1" x14ac:dyDescent="0.2"/>
    <row r="20" spans="1:5" ht="12.75" customHeight="1" x14ac:dyDescent="0.2">
      <c r="A20" s="2" t="s">
        <v>147</v>
      </c>
      <c r="B20" s="2" t="s">
        <v>148</v>
      </c>
      <c r="C20" s="2" t="s">
        <v>20</v>
      </c>
    </row>
    <row r="21" spans="1:5" ht="12.75" customHeight="1" x14ac:dyDescent="0.2">
      <c r="A21" s="2">
        <v>1</v>
      </c>
      <c r="B21" s="3" t="e">
        <f>IF(B$14=1,(B$8-B$9)/B$10,(B$8-B$11)/(B$10-B$12))</f>
        <v>#N/A</v>
      </c>
      <c r="C21" s="3" t="e">
        <f>IF(B$14=1,B$9,B$11)</f>
        <v>#N/A</v>
      </c>
    </row>
    <row r="22" spans="1:5" ht="12.75" customHeight="1" x14ac:dyDescent="0.2">
      <c r="A22" s="2">
        <v>2</v>
      </c>
      <c r="B22" s="3" t="e">
        <f>IF(B$14=1,0,(B$11-B$9)/(B$12-B$13))</f>
        <v>#N/A</v>
      </c>
      <c r="C22" s="3" t="e">
        <f>IF(B$14=1,0,B$9)</f>
        <v>#N/A</v>
      </c>
    </row>
    <row r="23" spans="1:5" ht="12.75" customHeight="1" x14ac:dyDescent="0.2"/>
    <row r="24" spans="1:5" ht="12.75" customHeight="1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</row>
    <row r="25" spans="1:5" ht="12.75" customHeight="1" x14ac:dyDescent="0.2">
      <c r="A25" s="11">
        <v>0</v>
      </c>
      <c r="B25" s="12" t="e">
        <f t="shared" ref="B25:B48" si="0">$B$7-$A25*$B$2</f>
        <v>#N/A</v>
      </c>
      <c r="C25" s="13" t="e">
        <f t="shared" ref="C25:C48" si="1">IF($B25&gt;B$10,B$8,IF($B25&lt;0,0,IF($B25&lt;B$13,B$9,IF($B25&lt;=B$12,B$22*($B25-B$13)+B$9,B$21*($B25-B$12)+C$21))))</f>
        <v>#N/A</v>
      </c>
      <c r="D25" s="14" t="e">
        <f t="shared" ref="D25:D48" si="2">SQRT($B$15^2-($C25*100)^2)</f>
        <v>#N/A</v>
      </c>
      <c r="E25" s="15" t="e">
        <f>$B$17*1+$D25*0</f>
        <v>#N/A</v>
      </c>
    </row>
    <row r="26" spans="1:5" ht="12.75" customHeight="1" x14ac:dyDescent="0.2">
      <c r="A26" s="11">
        <v>0.05</v>
      </c>
      <c r="B26" s="12" t="e">
        <f t="shared" si="0"/>
        <v>#N/A</v>
      </c>
      <c r="C26" s="13" t="e">
        <f t="shared" si="1"/>
        <v>#N/A</v>
      </c>
      <c r="D26" s="15" t="e">
        <f t="shared" si="2"/>
        <v>#N/A</v>
      </c>
      <c r="E26" s="15" t="e">
        <f>$B$17*0.8+$D26*0.2</f>
        <v>#N/A</v>
      </c>
    </row>
    <row r="27" spans="1:5" ht="12.75" customHeight="1" x14ac:dyDescent="0.2">
      <c r="A27" s="11">
        <v>0.1</v>
      </c>
      <c r="B27" s="12" t="e">
        <f t="shared" si="0"/>
        <v>#N/A</v>
      </c>
      <c r="C27" s="13" t="e">
        <f t="shared" si="1"/>
        <v>#N/A</v>
      </c>
      <c r="D27" s="15" t="e">
        <f t="shared" si="2"/>
        <v>#N/A</v>
      </c>
      <c r="E27" s="15" t="e">
        <f>$B$17*0.6+$D27*0.4</f>
        <v>#N/A</v>
      </c>
    </row>
    <row r="28" spans="1:5" ht="12.75" customHeight="1" x14ac:dyDescent="0.2">
      <c r="A28" s="11">
        <v>0.15</v>
      </c>
      <c r="B28" s="12" t="e">
        <f t="shared" si="0"/>
        <v>#N/A</v>
      </c>
      <c r="C28" s="13" t="e">
        <f t="shared" si="1"/>
        <v>#N/A</v>
      </c>
      <c r="D28" s="15" t="e">
        <f t="shared" si="2"/>
        <v>#N/A</v>
      </c>
      <c r="E28" s="15" t="e">
        <f>$B$17*0.4+$D28*0.6</f>
        <v>#N/A</v>
      </c>
    </row>
    <row r="29" spans="1:5" ht="12.75" customHeight="1" x14ac:dyDescent="0.2">
      <c r="A29" s="11">
        <v>0.2</v>
      </c>
      <c r="B29" s="12" t="e">
        <f t="shared" si="0"/>
        <v>#N/A</v>
      </c>
      <c r="C29" s="13" t="e">
        <f t="shared" si="1"/>
        <v>#N/A</v>
      </c>
      <c r="D29" s="15" t="e">
        <f t="shared" si="2"/>
        <v>#N/A</v>
      </c>
      <c r="E29" s="15" t="e">
        <f>$B$17*0.2+$D29*0.8</f>
        <v>#N/A</v>
      </c>
    </row>
    <row r="30" spans="1:5" ht="12.75" customHeight="1" x14ac:dyDescent="0.2">
      <c r="A30" s="11">
        <v>0.25</v>
      </c>
      <c r="B30" s="12" t="e">
        <f t="shared" si="0"/>
        <v>#N/A</v>
      </c>
      <c r="C30" s="13" t="e">
        <f t="shared" si="1"/>
        <v>#N/A</v>
      </c>
      <c r="D30" s="15" t="e">
        <f t="shared" si="2"/>
        <v>#N/A</v>
      </c>
      <c r="E30" s="15" t="e">
        <f>$B$17*0.1+$D30*0.9</f>
        <v>#N/A</v>
      </c>
    </row>
    <row r="31" spans="1:5" ht="12.75" customHeight="1" x14ac:dyDescent="0.2">
      <c r="A31" s="11">
        <v>0.3</v>
      </c>
      <c r="B31" s="12" t="e">
        <f t="shared" si="0"/>
        <v>#N/A</v>
      </c>
      <c r="C31" s="13" t="e">
        <f t="shared" si="1"/>
        <v>#N/A</v>
      </c>
      <c r="D31" s="15" t="e">
        <f t="shared" si="2"/>
        <v>#N/A</v>
      </c>
      <c r="E31" s="15" t="e">
        <f>$B$17*0.05+$D31*0.95</f>
        <v>#N/A</v>
      </c>
    </row>
    <row r="32" spans="1:5" ht="12.75" customHeight="1" x14ac:dyDescent="0.2">
      <c r="A32" s="11">
        <v>0.35</v>
      </c>
      <c r="B32" s="12" t="e">
        <f t="shared" si="0"/>
        <v>#N/A</v>
      </c>
      <c r="C32" s="13" t="e">
        <f t="shared" si="1"/>
        <v>#N/A</v>
      </c>
      <c r="D32" s="15" t="e">
        <f t="shared" si="2"/>
        <v>#N/A</v>
      </c>
      <c r="E32" s="15" t="e">
        <f t="shared" ref="E32:E48" si="3">IF($B$16&lt;$D32,$B$16,$D32)</f>
        <v>#N/A</v>
      </c>
    </row>
    <row r="33" spans="1:5" ht="12.75" customHeight="1" x14ac:dyDescent="0.2">
      <c r="A33" s="11">
        <v>0.4</v>
      </c>
      <c r="B33" s="12" t="e">
        <f t="shared" si="0"/>
        <v>#N/A</v>
      </c>
      <c r="C33" s="13" t="e">
        <f t="shared" si="1"/>
        <v>#N/A</v>
      </c>
      <c r="D33" s="15" t="e">
        <f t="shared" si="2"/>
        <v>#N/A</v>
      </c>
      <c r="E33" s="15" t="e">
        <f t="shared" si="3"/>
        <v>#N/A</v>
      </c>
    </row>
    <row r="34" spans="1:5" ht="12.75" customHeight="1" x14ac:dyDescent="0.2">
      <c r="A34" s="11">
        <v>0.45</v>
      </c>
      <c r="B34" s="12" t="e">
        <f t="shared" si="0"/>
        <v>#N/A</v>
      </c>
      <c r="C34" s="13" t="e">
        <f t="shared" si="1"/>
        <v>#N/A</v>
      </c>
      <c r="D34" s="15" t="e">
        <f t="shared" si="2"/>
        <v>#N/A</v>
      </c>
      <c r="E34" s="15" t="e">
        <f t="shared" si="3"/>
        <v>#N/A</v>
      </c>
    </row>
    <row r="35" spans="1:5" ht="12.75" customHeight="1" x14ac:dyDescent="0.2">
      <c r="A35" s="11">
        <v>0.5</v>
      </c>
      <c r="B35" s="12" t="e">
        <f t="shared" si="0"/>
        <v>#N/A</v>
      </c>
      <c r="C35" s="13" t="e">
        <f t="shared" si="1"/>
        <v>#N/A</v>
      </c>
      <c r="D35" s="15" t="e">
        <f t="shared" si="2"/>
        <v>#N/A</v>
      </c>
      <c r="E35" s="15" t="e">
        <f t="shared" si="3"/>
        <v>#N/A</v>
      </c>
    </row>
    <row r="36" spans="1:5" ht="12.75" customHeight="1" x14ac:dyDescent="0.2">
      <c r="A36" s="11">
        <v>0.55000000000000004</v>
      </c>
      <c r="B36" s="12" t="e">
        <f t="shared" si="0"/>
        <v>#N/A</v>
      </c>
      <c r="C36" s="13" t="e">
        <f t="shared" si="1"/>
        <v>#N/A</v>
      </c>
      <c r="D36" s="15" t="e">
        <f t="shared" si="2"/>
        <v>#N/A</v>
      </c>
      <c r="E36" s="15" t="e">
        <f t="shared" si="3"/>
        <v>#N/A</v>
      </c>
    </row>
    <row r="37" spans="1:5" ht="12.75" customHeight="1" x14ac:dyDescent="0.2">
      <c r="A37" s="11">
        <v>0.6</v>
      </c>
      <c r="B37" s="12" t="e">
        <f t="shared" si="0"/>
        <v>#N/A</v>
      </c>
      <c r="C37" s="13" t="e">
        <f t="shared" si="1"/>
        <v>#N/A</v>
      </c>
      <c r="D37" s="15" t="e">
        <f t="shared" si="2"/>
        <v>#N/A</v>
      </c>
      <c r="E37" s="15" t="e">
        <f t="shared" si="3"/>
        <v>#N/A</v>
      </c>
    </row>
    <row r="38" spans="1:5" ht="12.75" customHeight="1" x14ac:dyDescent="0.2">
      <c r="A38" s="11">
        <v>0.65</v>
      </c>
      <c r="B38" s="12" t="e">
        <f t="shared" si="0"/>
        <v>#N/A</v>
      </c>
      <c r="C38" s="13" t="e">
        <f t="shared" si="1"/>
        <v>#N/A</v>
      </c>
      <c r="D38" s="15" t="e">
        <f t="shared" si="2"/>
        <v>#N/A</v>
      </c>
      <c r="E38" s="15" t="e">
        <f t="shared" si="3"/>
        <v>#N/A</v>
      </c>
    </row>
    <row r="39" spans="1:5" ht="12.75" customHeight="1" x14ac:dyDescent="0.2">
      <c r="A39" s="11">
        <v>0.7</v>
      </c>
      <c r="B39" s="12" t="e">
        <f t="shared" si="0"/>
        <v>#N/A</v>
      </c>
      <c r="C39" s="13" t="e">
        <f t="shared" si="1"/>
        <v>#N/A</v>
      </c>
      <c r="D39" s="15" t="e">
        <f t="shared" si="2"/>
        <v>#N/A</v>
      </c>
      <c r="E39" s="15" t="e">
        <f t="shared" si="3"/>
        <v>#N/A</v>
      </c>
    </row>
    <row r="40" spans="1:5" ht="12.75" customHeight="1" x14ac:dyDescent="0.2">
      <c r="A40" s="11">
        <v>0.75</v>
      </c>
      <c r="B40" s="12" t="e">
        <f t="shared" si="0"/>
        <v>#N/A</v>
      </c>
      <c r="C40" s="13" t="e">
        <f t="shared" si="1"/>
        <v>#N/A</v>
      </c>
      <c r="D40" s="15" t="e">
        <f t="shared" si="2"/>
        <v>#N/A</v>
      </c>
      <c r="E40" s="15" t="e">
        <f t="shared" si="3"/>
        <v>#N/A</v>
      </c>
    </row>
    <row r="41" spans="1:5" ht="12.75" customHeight="1" x14ac:dyDescent="0.2">
      <c r="A41" s="11">
        <v>0.8</v>
      </c>
      <c r="B41" s="12" t="e">
        <f t="shared" si="0"/>
        <v>#N/A</v>
      </c>
      <c r="C41" s="13" t="e">
        <f t="shared" si="1"/>
        <v>#N/A</v>
      </c>
      <c r="D41" s="15" t="e">
        <f t="shared" si="2"/>
        <v>#N/A</v>
      </c>
      <c r="E41" s="15" t="e">
        <f t="shared" si="3"/>
        <v>#N/A</v>
      </c>
    </row>
    <row r="42" spans="1:5" ht="12.75" customHeight="1" x14ac:dyDescent="0.2">
      <c r="A42" s="11">
        <v>0.85</v>
      </c>
      <c r="B42" s="12" t="e">
        <f t="shared" si="0"/>
        <v>#N/A</v>
      </c>
      <c r="C42" s="13" t="e">
        <f t="shared" si="1"/>
        <v>#N/A</v>
      </c>
      <c r="D42" s="15" t="e">
        <f t="shared" si="2"/>
        <v>#N/A</v>
      </c>
      <c r="E42" s="15" t="e">
        <f t="shared" si="3"/>
        <v>#N/A</v>
      </c>
    </row>
    <row r="43" spans="1:5" ht="12.75" customHeight="1" x14ac:dyDescent="0.2">
      <c r="A43" s="11">
        <v>0.9</v>
      </c>
      <c r="B43" s="12" t="e">
        <f t="shared" si="0"/>
        <v>#N/A</v>
      </c>
      <c r="C43" s="13" t="e">
        <f t="shared" si="1"/>
        <v>#N/A</v>
      </c>
      <c r="D43" s="15" t="e">
        <f t="shared" si="2"/>
        <v>#N/A</v>
      </c>
      <c r="E43" s="15" t="e">
        <f t="shared" si="3"/>
        <v>#N/A</v>
      </c>
    </row>
    <row r="44" spans="1:5" ht="12.75" customHeight="1" x14ac:dyDescent="0.2">
      <c r="A44" s="11">
        <v>0.95</v>
      </c>
      <c r="B44" s="12" t="e">
        <f t="shared" si="0"/>
        <v>#N/A</v>
      </c>
      <c r="C44" s="13" t="e">
        <f t="shared" si="1"/>
        <v>#N/A</v>
      </c>
      <c r="D44" s="15" t="e">
        <f t="shared" si="2"/>
        <v>#N/A</v>
      </c>
      <c r="E44" s="15" t="e">
        <f t="shared" si="3"/>
        <v>#N/A</v>
      </c>
    </row>
    <row r="45" spans="1:5" ht="12.75" customHeight="1" x14ac:dyDescent="0.2">
      <c r="A45" s="11">
        <v>1</v>
      </c>
      <c r="B45" s="12" t="e">
        <f t="shared" si="0"/>
        <v>#N/A</v>
      </c>
      <c r="C45" s="13" t="e">
        <f t="shared" si="1"/>
        <v>#N/A</v>
      </c>
      <c r="D45" s="15" t="e">
        <f t="shared" si="2"/>
        <v>#N/A</v>
      </c>
      <c r="E45" s="15" t="e">
        <f t="shared" si="3"/>
        <v>#N/A</v>
      </c>
    </row>
    <row r="46" spans="1:5" ht="12.75" customHeight="1" x14ac:dyDescent="0.2">
      <c r="A46" s="11">
        <v>1.05</v>
      </c>
      <c r="B46" s="12" t="e">
        <f t="shared" si="0"/>
        <v>#N/A</v>
      </c>
      <c r="C46" s="13" t="e">
        <f t="shared" si="1"/>
        <v>#N/A</v>
      </c>
      <c r="D46" s="15" t="e">
        <f t="shared" si="2"/>
        <v>#N/A</v>
      </c>
      <c r="E46" s="15" t="e">
        <f t="shared" si="3"/>
        <v>#N/A</v>
      </c>
    </row>
    <row r="47" spans="1:5" ht="12.75" customHeight="1" x14ac:dyDescent="0.2">
      <c r="A47" s="11">
        <v>1.1000000000000001</v>
      </c>
      <c r="B47" s="12" t="e">
        <f t="shared" si="0"/>
        <v>#N/A</v>
      </c>
      <c r="C47" s="13" t="e">
        <f t="shared" si="1"/>
        <v>#N/A</v>
      </c>
      <c r="D47" s="15" t="e">
        <f t="shared" si="2"/>
        <v>#N/A</v>
      </c>
      <c r="E47" s="15" t="e">
        <f t="shared" si="3"/>
        <v>#N/A</v>
      </c>
    </row>
    <row r="48" spans="1:5" ht="12.75" customHeight="1" x14ac:dyDescent="0.2">
      <c r="A48" s="11">
        <v>1.1499999999999999</v>
      </c>
      <c r="B48" s="12" t="e">
        <f t="shared" si="0"/>
        <v>#N/A</v>
      </c>
      <c r="C48" s="13" t="e">
        <f t="shared" si="1"/>
        <v>#N/A</v>
      </c>
      <c r="D48" s="15" t="e">
        <f t="shared" si="2"/>
        <v>#N/A</v>
      </c>
      <c r="E48" s="15" t="e">
        <f t="shared" si="3"/>
        <v>#N/A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&amp;CSeite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Chart</vt:lpstr>
      <vt:lpstr>Needle Data</vt:lpstr>
      <vt:lpstr>Calc Data 1</vt:lpstr>
      <vt:lpstr>Calc Data 2</vt:lpstr>
      <vt:lpstr>Calc Data 3</vt:lpstr>
      <vt:lpstr>Calc Data 4</vt:lpstr>
      <vt:lpstr>Calc Data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2023-06-04T17:30:09Z</dcterms:created>
  <dcterms:modified xsi:type="dcterms:W3CDTF">2026-04-27T11:58:13Z</dcterms:modified>
</cp:coreProperties>
</file>