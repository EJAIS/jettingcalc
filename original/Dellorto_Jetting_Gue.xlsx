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Needle Data" sheetId="2" r:id="rId5"/>
    <sheet state="visible" name="Calc Data 1" sheetId="3" r:id="rId6"/>
    <sheet state="visible" name="Calc Data 2" sheetId="4" r:id="rId7"/>
    <sheet state="visible" name="Calc Data 3" sheetId="5" r:id="rId8"/>
    <sheet state="visible" name="Calc Data 4" sheetId="6" r:id="rId9"/>
    <sheet state="visible" name="Calc Data 5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">
      <text>
        <t xml:space="preserve">Version 1.0: initial version
Version 1.1: added Carb profile, fixed Needle Data
Version 1.2: added support for DP and DQ needle Jets
Version 1.3: added 5th setup
Version 1.4: fixed DQ needle jet and needle clip offset, added basic carb size compensation
Version 1.5: added U-Type needle support, fixed Needle Data</t>
      </text>
    </comment>
    <comment authorId="0" ref="A2">
      <text>
        <t xml:space="preserve">This program is free software; you can redistribute it and/or
modify it under the terms of the GNU General Public License
as published by the Free Software Foundation; either version 2
of the License, or (at your option) any later version.
This program is distributed in the hope that it will be useful,
but WITHOUT ANY WARRANTY; without even the implied warranty of
MERCHANTABILITY or FITNESS FOR A PARTICULAR PURPOSE.  See the
GNU General Public License for more details.
You should have received a copy of the GNU General Public License
along with this program; if not, write to the Free Software
Foundation, Inc., 51 Franklin Street, Fifth Floor, Boston, MA  02110-1301, USA.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 (1-4; where 1 is the topmost clip position)</t>
      </text>
    </comment>
    <comment authorId="0" ref="A4">
      <text>
        <t xml:space="preserve">Measured</t>
      </text>
    </comment>
    <comment authorId="0" ref="A5">
      <text>
        <t xml:space="preserve">Measured</t>
      </text>
    </comment>
    <comment authorId="0" ref="A20">
      <text>
        <t xml:space="preserve">Dellorto K needles have 3 tapers.
But taper number 3 is only cylindrical!
Calculations of each taper is based on y=k*x+d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 (1-4; where 1 is the topmost clip position)</t>
      </text>
    </comment>
    <comment authorId="0" ref="A4">
      <text>
        <t xml:space="preserve">Measured</t>
      </text>
    </comment>
    <comment authorId="0" ref="A5">
      <text>
        <t xml:space="preserve">Measured</t>
      </text>
    </comment>
    <comment authorId="0" ref="A20">
      <text>
        <t xml:space="preserve">Dellorto K needles have 3 tapers.
But taper number 3 is only cylindrical!
Calculations of each taper is based on y=k*x+d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 (1-4; where 1 is the topmost clip position)</t>
      </text>
    </comment>
    <comment authorId="0" ref="A4">
      <text>
        <t xml:space="preserve">Measured</t>
      </text>
    </comment>
    <comment authorId="0" ref="A5">
      <text>
        <t xml:space="preserve">Measured</t>
      </text>
    </comment>
    <comment authorId="0" ref="A20">
      <text>
        <t xml:space="preserve">Dellorto K needles have 3 tapers.
But taper number 3 is only cylindrical!
Calculations of each taper is based on y=k*x+d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 (1-4; where 1 is the topmost clip position)</t>
      </text>
    </comment>
    <comment authorId="0" ref="A4">
      <text>
        <t xml:space="preserve">Measured</t>
      </text>
    </comment>
    <comment authorId="0" ref="A5">
      <text>
        <t xml:space="preserve">Measured</t>
      </text>
    </comment>
    <comment authorId="0" ref="A20">
      <text>
        <t xml:space="preserve">Dellorto K needles have 3 tapers.
But taper number 3 is only cylindrical!
Calculations of each taper is based on y=k*x+d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3">
      <text>
        <t xml:space="preserve"> (1-4; where 1 is the topmost clip position)</t>
      </text>
    </comment>
    <comment authorId="0" ref="A4">
      <text>
        <t xml:space="preserve">Measured</t>
      </text>
    </comment>
    <comment authorId="0" ref="A5">
      <text>
        <t xml:space="preserve">Measured</t>
      </text>
    </comment>
    <comment authorId="0" ref="A20">
      <text>
        <t xml:space="preserve">Dellorto K needles have 3 tapers.
But taper number 3 is only cylindrical!
Calculations of each taper is based on y=k*x+d</t>
      </text>
    </comment>
  </commentList>
</comments>
</file>

<file path=xl/sharedStrings.xml><?xml version="1.0" encoding="utf-8"?>
<sst xmlns="http://schemas.openxmlformats.org/spreadsheetml/2006/main" count="284" uniqueCount="159">
  <si>
    <t>Calculate Jetting for Dellorto Carbs, Version 1.5</t>
  </si>
  <si>
    <t>Copyright (C) 2014 GUE, Licensed under GNU General Public License (GPL) Version 2.0</t>
  </si>
  <si>
    <t>Setup</t>
  </si>
  <si>
    <t>Needle Type</t>
  </si>
  <si>
    <t>Clip Position</t>
  </si>
  <si>
    <t>Carb Size</t>
  </si>
  <si>
    <t>Needle Jet</t>
  </si>
  <si>
    <t>Type (DP,DQ,ET)</t>
  </si>
  <si>
    <t>max HD</t>
  </si>
  <si>
    <t>ND</t>
  </si>
  <si>
    <t>HD</t>
  </si>
  <si>
    <t>#1 falc VHSB34</t>
  </si>
  <si>
    <t>K24</t>
  </si>
  <si>
    <t>DQ</t>
  </si>
  <si>
    <t>#2 zu mager VHSB34</t>
  </si>
  <si>
    <t>#3 aktuell VHSB34</t>
  </si>
  <si>
    <t>DP</t>
  </si>
  <si>
    <t>#4 zu fett VHSB34</t>
  </si>
  <si>
    <t>K27</t>
  </si>
  <si>
    <t>#5 VHSA32</t>
  </si>
  <si>
    <t>U16</t>
  </si>
  <si>
    <t>Type</t>
  </si>
  <si>
    <t>a</t>
  </si>
  <si>
    <t>b</t>
  </si>
  <si>
    <t>c</t>
  </si>
  <si>
    <t>d</t>
  </si>
  <si>
    <t>e</t>
  </si>
  <si>
    <t>f</t>
  </si>
  <si>
    <t>Needle Length</t>
  </si>
  <si>
    <t>Jet Type</t>
  </si>
  <si>
    <t>Needle Offset</t>
  </si>
  <si>
    <t>K1</t>
  </si>
  <si>
    <t>K</t>
  </si>
  <si>
    <t>K2</t>
  </si>
  <si>
    <t>U</t>
  </si>
  <si>
    <t>K3</t>
  </si>
  <si>
    <t>ET</t>
  </si>
  <si>
    <t>K4</t>
  </si>
  <si>
    <t>K5</t>
  </si>
  <si>
    <t>K6</t>
  </si>
  <si>
    <t>K7</t>
  </si>
  <si>
    <t>K8</t>
  </si>
  <si>
    <t>K9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</si>
  <si>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</si>
  <si>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</si>
  <si>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</si>
  <si>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</si>
  <si>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</si>
  <si>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</si>
  <si>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</si>
  <si>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</si>
  <si>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</si>
  <si>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</si>
  <si>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</si>
  <si>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</si>
  <si>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</si>
  <si>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K25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</si>
  <si>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</si>
  <si>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</si>
  <si>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</si>
  <si>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</si>
  <si>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</si>
  <si>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</si>
  <si>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</si>
  <si>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</si>
  <si>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</si>
  <si>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</si>
  <si>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</si>
  <si>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</si>
  <si>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</si>
  <si>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</si>
  <si>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</si>
  <si>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</si>
  <si>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</si>
  <si>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</si>
  <si>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</si>
  <si>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K48</t>
  </si>
  <si>
    <t>K49</t>
  </si>
  <si>
    <t>K50</t>
  </si>
  <si>
    <t>K51</t>
  </si>
  <si>
    <t>K52</t>
  </si>
  <si>
    <t>K53</t>
  </si>
  <si>
    <t>K54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</si>
  <si>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</si>
  <si>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</si>
  <si>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</si>
  <si>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</si>
  <si>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</si>
  <si>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</si>
  <si>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</si>
  <si>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</si>
  <si>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</si>
  <si>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</si>
  <si>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</si>
  <si>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K68</t>
  </si>
  <si>
    <t>K69</t>
  </si>
  <si>
    <t>K70</t>
  </si>
  <si>
    <t>K71</t>
  </si>
  <si>
    <t>K72</t>
  </si>
  <si>
    <t>K76</t>
  </si>
  <si>
    <t>K77</t>
  </si>
  <si>
    <t>K78</t>
  </si>
  <si>
    <t>K79</t>
  </si>
  <si>
    <t>K80</t>
  </si>
  <si>
    <t>K81</t>
  </si>
  <si>
    <t>K82</t>
  </si>
  <si>
    <t>K83</t>
  </si>
  <si>
    <t>K84</t>
  </si>
  <si>
    <t>K86</t>
  </si>
  <si>
    <t>K87</t>
  </si>
  <si>
    <t>K88</t>
  </si>
  <si>
    <t>K89</t>
  </si>
  <si>
    <t>K90</t>
  </si>
  <si>
    <t>K91</t>
  </si>
  <si>
    <t>K92</t>
  </si>
  <si>
    <t>K93</t>
  </si>
  <si>
    <t>K94</t>
  </si>
  <si>
    <t>K95</t>
  </si>
  <si>
    <t>K98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</si>
  <si>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</si>
  <si>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</si>
  <si>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</si>
  <si>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</si>
  <si>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</si>
  <si>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</si>
  <si>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</si>
  <si>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</si>
  <si>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</si>
  <si>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</si>
  <si>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</si>
  <si>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</si>
  <si>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</si>
  <si>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</si>
  <si>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</si>
  <si>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</si>
  <si>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</si>
  <si>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</si>
  <si>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</si>
  <si>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</si>
  <si>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</si>
  <si>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</si>
  <si>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</si>
  <si>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</si>
  <si>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Needle</t>
  </si>
  <si>
    <t>Carb Diameter</t>
  </si>
  <si>
    <t>Clip position</t>
  </si>
  <si>
    <t>Distance between clip positions</t>
  </si>
  <si>
    <t>Min distance needle is exposed at idle</t>
  </si>
  <si>
    <t>Needle length</t>
  </si>
  <si>
    <t>Needle position at idle</t>
  </si>
  <si>
    <t>tapers</t>
  </si>
  <si>
    <t>Needle Offset because of Needle JET</t>
  </si>
  <si>
    <t>taper</t>
  </si>
  <si>
    <t>k</t>
  </si>
  <si>
    <t>Throttle Position</t>
  </si>
  <si>
    <t>Needle Position</t>
  </si>
  <si>
    <t>Needle Diameter</t>
  </si>
  <si>
    <t>HD equiv.</t>
  </si>
  <si>
    <t>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</si>
</sst>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3333"/>
        <bgColor rgb="FFFF3333"/>
      </patternFill>
    </fill>
    <fill>
      <patternFill patternType="solid">
        <fgColor rgb="FF99FF99"/>
        <bgColor rgb="FF99FF99"/>
      </patternFill>
    </fill>
    <fill>
      <patternFill patternType="solid">
        <fgColor rgb="FFFF9999"/>
        <bgColor rgb="FFFF9999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3" fontId="3" numFmtId="1" xfId="0" applyAlignment="1" applyBorder="1" applyFill="1" applyFont="1" applyNumberFormat="1">
      <alignment horizontal="center" shrinkToFit="0" vertical="bottom" wrapText="0"/>
    </xf>
    <xf borderId="0" fillId="0" fontId="4" numFmtId="0" xfId="0" applyFont="1"/>
    <xf borderId="0" fillId="0" fontId="5" numFmtId="0" xfId="0" applyAlignment="1" applyFont="1">
      <alignment horizontal="center" shrinkToFit="0" vertical="bottom" wrapText="1"/>
    </xf>
    <xf borderId="1" fillId="4" fontId="2" numFmtId="0" xfId="0" applyAlignment="1" applyBorder="1" applyFill="1" applyFont="1">
      <alignment horizontal="right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164" xfId="0" applyAlignment="1" applyBorder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1" fillId="6" fontId="3" numFmtId="1" xfId="0" applyAlignment="1" applyBorder="1" applyFill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Needle Profile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#1 falc VHSB34</c:v>
          </c:tx>
          <c:spPr>
            <a:ln cmpd="sng" w="28575">
              <a:solidFill>
                <a:srgbClr val="00458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1'!$C$25:$C$45</c:f>
              <c:numCache/>
            </c:numRef>
          </c:val>
          <c:smooth val="0"/>
        </c:ser>
        <c:ser>
          <c:idx val="1"/>
          <c:order val="1"/>
          <c:tx>
            <c:v>#2 zu mager VHSB34</c:v>
          </c:tx>
          <c:spPr>
            <a:ln cmpd="sng" w="28575">
              <a:solidFill>
                <a:srgbClr val="FF420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2'!$C$25:$C$45</c:f>
              <c:numCache/>
            </c:numRef>
          </c:val>
          <c:smooth val="0"/>
        </c:ser>
        <c:ser>
          <c:idx val="2"/>
          <c:order val="2"/>
          <c:tx>
            <c:v>#3 aktuell VHSB34</c:v>
          </c:tx>
          <c:spPr>
            <a:ln cmpd="sng" w="28575">
              <a:solidFill>
                <a:srgbClr val="FFD32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3'!$C$25:$C$45</c:f>
              <c:numCache/>
            </c:numRef>
          </c:val>
          <c:smooth val="0"/>
        </c:ser>
        <c:ser>
          <c:idx val="3"/>
          <c:order val="3"/>
          <c:tx>
            <c:v>#4 zu fett VHSB34</c:v>
          </c:tx>
          <c:spPr>
            <a:ln cmpd="sng" w="28575">
              <a:solidFill>
                <a:srgbClr val="579D1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4'!$C$25:$C$45</c:f>
              <c:numCache/>
            </c:numRef>
          </c:val>
          <c:smooth val="0"/>
        </c:ser>
        <c:ser>
          <c:idx val="4"/>
          <c:order val="4"/>
          <c:tx>
            <c:v>#5 VHSA32</c:v>
          </c:tx>
          <c:spPr>
            <a:ln cmpd="sng" w="28575">
              <a:solidFill>
                <a:srgbClr val="7E002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5'!$C$25:$C$45</c:f>
              <c:numCache/>
            </c:numRef>
          </c:val>
          <c:smooth val="0"/>
        </c:ser>
        <c:axId val="1498902254"/>
        <c:axId val="1293773631"/>
      </c:lineChart>
      <c:catAx>
        <c:axId val="1498902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Arial"/>
                  </a:rPr>
                  <a:t>&lt;&lt; Idle - Throttle Position - WOT &gt;&gt;</a:t>
                </a:r>
              </a:p>
            </c:rich>
          </c:tx>
          <c:overlay val="0"/>
        </c:title>
        <c:numFmt formatCode="# ?/?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93773631"/>
      </c:catAx>
      <c:valAx>
        <c:axId val="1293773631"/>
        <c:scaling>
          <c:orientation val="minMax"/>
          <c:max val="2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Arial"/>
                  </a:rPr>
                  <a:t>&lt;&lt; Less Fuel - Needle Diameter - More Fuel &gt;&gt;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49890225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Carb Profile</a:t>
            </a:r>
          </a:p>
        </c:rich>
      </c:tx>
      <c:overlay val="0"/>
    </c:title>
    <c:plotArea>
      <c:layout/>
      <c:lineChart>
        <c:ser>
          <c:idx val="0"/>
          <c:order val="0"/>
          <c:tx>
            <c:v>#1 falc VHSB34</c:v>
          </c:tx>
          <c:spPr>
            <a:ln cmpd="sng" w="28575">
              <a:solidFill>
                <a:srgbClr val="00458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1'!$E$25:$E$45</c:f>
              <c:numCache/>
            </c:numRef>
          </c:val>
          <c:smooth val="0"/>
        </c:ser>
        <c:ser>
          <c:idx val="1"/>
          <c:order val="1"/>
          <c:tx>
            <c:v>#2 zu mager VHSB34</c:v>
          </c:tx>
          <c:spPr>
            <a:ln cmpd="sng" w="28575">
              <a:solidFill>
                <a:srgbClr val="FF420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2'!$E$25:$E$45</c:f>
              <c:numCache/>
            </c:numRef>
          </c:val>
          <c:smooth val="0"/>
        </c:ser>
        <c:ser>
          <c:idx val="2"/>
          <c:order val="2"/>
          <c:tx>
            <c:v>#3 aktuell VHSB34</c:v>
          </c:tx>
          <c:spPr>
            <a:ln cmpd="sng" w="28575">
              <a:solidFill>
                <a:srgbClr val="FFD32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3'!$E$25:$E$45</c:f>
              <c:numCache/>
            </c:numRef>
          </c:val>
          <c:smooth val="0"/>
        </c:ser>
        <c:ser>
          <c:idx val="3"/>
          <c:order val="3"/>
          <c:tx>
            <c:v>#4 zu fett VHSB34</c:v>
          </c:tx>
          <c:spPr>
            <a:ln cmpd="sng" w="28575">
              <a:solidFill>
                <a:srgbClr val="579D1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4'!$E$25:$E$45</c:f>
              <c:numCache/>
            </c:numRef>
          </c:val>
          <c:smooth val="0"/>
        </c:ser>
        <c:ser>
          <c:idx val="4"/>
          <c:order val="4"/>
          <c:tx>
            <c:v>#5 VHSA32</c:v>
          </c:tx>
          <c:spPr>
            <a:ln cmpd="sng" w="28575">
              <a:solidFill>
                <a:srgbClr val="7E002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'Calc Data 5'!$A$25:$A$45</c:f>
            </c:strRef>
          </c:cat>
          <c:val>
            <c:numRef>
              <c:f>'Calc Data 5'!$E$25:$E$45</c:f>
              <c:numCache/>
            </c:numRef>
          </c:val>
          <c:smooth val="0"/>
        </c:ser>
        <c:axId val="2248057"/>
        <c:axId val="885305349"/>
      </c:lineChart>
      <c:catAx>
        <c:axId val="2248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Arial"/>
                  </a:rPr>
                  <a:t>&lt;&lt; Idle - Throttle Position - WOT &gt;&gt;</a:t>
                </a:r>
              </a:p>
            </c:rich>
          </c:tx>
          <c:overlay val="0"/>
        </c:title>
        <c:numFmt formatCode="# ?/?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885305349"/>
      </c:catAx>
      <c:valAx>
        <c:axId val="885305349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Arial"/>
                  </a:rPr>
                  <a:t>&lt;&lt; Less Fuel - HD equivalent - More Fuel &gt;&gt;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248057"/>
        <c:majorUnit val="10.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9</xdr:row>
      <xdr:rowOff>152400</xdr:rowOff>
    </xdr:from>
    <xdr:ext cx="8315325" cy="5267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1285875</xdr:colOff>
      <xdr:row>42</xdr:row>
      <xdr:rowOff>85725</xdr:rowOff>
    </xdr:from>
    <xdr:ext cx="10115550" cy="57150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3" width="11.63"/>
    <col customWidth="1" min="4" max="4" width="11.75"/>
    <col customWidth="1" min="5" max="5" width="11.63"/>
    <col customWidth="1" min="6" max="6" width="16.13"/>
    <col customWidth="1" min="7" max="7" width="13.63"/>
    <col customWidth="1" min="8" max="9" width="11.63"/>
    <col customWidth="1" min="10" max="26" width="8.63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/>
    <row r="4" ht="12.75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12.75" customHeight="1">
      <c r="A5" s="2" t="s">
        <v>11</v>
      </c>
      <c r="B5" s="4" t="s">
        <v>12</v>
      </c>
      <c r="C5" s="4">
        <v>2.0</v>
      </c>
      <c r="D5" s="4">
        <v>34.0</v>
      </c>
      <c r="E5" s="4">
        <v>270.0</v>
      </c>
      <c r="F5" s="4" t="s">
        <v>13</v>
      </c>
      <c r="G5" s="5">
        <f>SQRT($E5^2-('Calc Data 1'!$C$45*100)^2)</f>
        <v>190.0167529</v>
      </c>
      <c r="H5" s="4">
        <v>50.0</v>
      </c>
      <c r="I5" s="4">
        <v>170.0</v>
      </c>
    </row>
    <row r="6" ht="12.75" customHeight="1">
      <c r="A6" s="2" t="s">
        <v>14</v>
      </c>
      <c r="B6" s="4" t="s">
        <v>12</v>
      </c>
      <c r="C6" s="4">
        <v>3.0</v>
      </c>
      <c r="D6" s="4">
        <v>34.0</v>
      </c>
      <c r="E6" s="4">
        <v>264.0</v>
      </c>
      <c r="F6" s="4" t="s">
        <v>13</v>
      </c>
      <c r="G6" s="5">
        <f>SQRT($E6^2-('Calc Data 2'!$C$45*100)^2)</f>
        <v>187.7297341</v>
      </c>
      <c r="H6" s="4">
        <v>50.0</v>
      </c>
      <c r="I6" s="4">
        <v>165.0</v>
      </c>
    </row>
    <row r="7" ht="12.75" customHeight="1">
      <c r="A7" s="2" t="s">
        <v>15</v>
      </c>
      <c r="B7" s="4" t="s">
        <v>12</v>
      </c>
      <c r="C7" s="4">
        <v>3.0</v>
      </c>
      <c r="D7" s="4">
        <v>34.0</v>
      </c>
      <c r="E7" s="4">
        <v>264.0</v>
      </c>
      <c r="F7" s="4" t="s">
        <v>16</v>
      </c>
      <c r="G7" s="5">
        <f>SQRT($E7^2-('Calc Data 3'!$C$45*100)^2)</f>
        <v>197.4126466</v>
      </c>
      <c r="H7" s="4">
        <v>50.0</v>
      </c>
      <c r="I7" s="4">
        <v>165.0</v>
      </c>
    </row>
    <row r="8" ht="12.75" customHeight="1">
      <c r="A8" s="2" t="s">
        <v>17</v>
      </c>
      <c r="B8" s="4" t="s">
        <v>18</v>
      </c>
      <c r="C8" s="4">
        <v>2.0</v>
      </c>
      <c r="D8" s="4">
        <v>34.0</v>
      </c>
      <c r="E8" s="4">
        <v>264.0</v>
      </c>
      <c r="F8" s="4" t="s">
        <v>16</v>
      </c>
      <c r="G8" s="5">
        <f>SQRT($E8^2-('Calc Data 4'!$C$45*100)^2)</f>
        <v>173.5572866</v>
      </c>
      <c r="H8" s="4">
        <v>50.0</v>
      </c>
      <c r="I8" s="4">
        <v>170.0</v>
      </c>
    </row>
    <row r="9" ht="12.75" customHeight="1">
      <c r="A9" s="2" t="s">
        <v>19</v>
      </c>
      <c r="B9" s="4" t="s">
        <v>20</v>
      </c>
      <c r="C9" s="4">
        <v>2.0</v>
      </c>
      <c r="D9" s="4">
        <v>32.0</v>
      </c>
      <c r="E9" s="4">
        <v>262.0</v>
      </c>
      <c r="F9" s="4" t="s">
        <v>13</v>
      </c>
      <c r="G9" s="5">
        <f>SQRT($E9^2-('Calc Data 5'!$C$45*100)^2)</f>
        <v>168.5784197</v>
      </c>
      <c r="H9" s="4">
        <v>44.0</v>
      </c>
      <c r="I9" s="4">
        <v>150.0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I1"/>
    <mergeCell ref="A2:I2"/>
  </mergeCell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38"/>
    <col customWidth="1" min="3" max="3" width="6.75"/>
    <col customWidth="1" min="4" max="4" width="6.0"/>
    <col customWidth="1" min="5" max="5" width="7.38"/>
    <col customWidth="1" min="6" max="6" width="6.88"/>
    <col customWidth="1" min="7" max="7" width="7.75"/>
    <col customWidth="1" min="8" max="10" width="11.63"/>
    <col customWidth="1" min="11" max="11" width="12.75"/>
    <col customWidth="1" min="12" max="13" width="11.63"/>
    <col customWidth="1" min="14" max="14" width="11.88"/>
    <col customWidth="1" min="15" max="26" width="8.63"/>
  </cols>
  <sheetData>
    <row r="1" ht="12.75" customHeight="1">
      <c r="A1" s="6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J1" s="4" t="s">
        <v>3</v>
      </c>
      <c r="K1" s="4" t="s">
        <v>28</v>
      </c>
      <c r="L1" s="4"/>
      <c r="M1" s="4" t="s">
        <v>29</v>
      </c>
      <c r="N1" s="4" t="s">
        <v>30</v>
      </c>
    </row>
    <row r="2" ht="12.75" customHeight="1">
      <c r="A2" s="6" t="s">
        <v>31</v>
      </c>
      <c r="B2" s="6">
        <v>2.45</v>
      </c>
      <c r="C2" s="6">
        <v>1.75</v>
      </c>
      <c r="D2" s="6">
        <v>37.0</v>
      </c>
      <c r="E2" s="7"/>
      <c r="F2" s="7"/>
      <c r="G2" s="7"/>
      <c r="J2" s="6" t="s">
        <v>32</v>
      </c>
      <c r="K2" s="6">
        <v>73.5</v>
      </c>
      <c r="M2" s="6" t="s">
        <v>16</v>
      </c>
      <c r="N2" s="6">
        <v>0.0</v>
      </c>
    </row>
    <row r="3" ht="12.75" customHeight="1">
      <c r="A3" s="6" t="s">
        <v>33</v>
      </c>
      <c r="B3" s="6">
        <v>2.45</v>
      </c>
      <c r="C3" s="6">
        <v>1.75</v>
      </c>
      <c r="D3" s="6">
        <v>42.0</v>
      </c>
      <c r="J3" s="6" t="s">
        <v>34</v>
      </c>
      <c r="K3" s="6">
        <v>68.0</v>
      </c>
      <c r="M3" s="6" t="s">
        <v>13</v>
      </c>
      <c r="N3" s="6">
        <v>2.0</v>
      </c>
    </row>
    <row r="4" ht="12.75" customHeight="1">
      <c r="A4" s="6" t="s">
        <v>35</v>
      </c>
      <c r="B4" s="6">
        <v>2.5</v>
      </c>
      <c r="C4" s="6">
        <v>1.5</v>
      </c>
      <c r="D4" s="6">
        <v>39.0</v>
      </c>
      <c r="M4" s="6" t="s">
        <v>36</v>
      </c>
      <c r="N4" s="6">
        <v>2.0</v>
      </c>
    </row>
    <row r="5" ht="12.75" customHeight="1">
      <c r="A5" s="6" t="s">
        <v>37</v>
      </c>
      <c r="B5" s="6">
        <v>2.45</v>
      </c>
      <c r="C5" s="6">
        <v>1.5</v>
      </c>
      <c r="D5" s="6">
        <v>39.0</v>
      </c>
    </row>
    <row r="6" ht="12.75" customHeight="1">
      <c r="A6" s="6" t="s">
        <v>38</v>
      </c>
      <c r="B6" s="6">
        <v>2.45</v>
      </c>
      <c r="C6" s="6">
        <v>1.5</v>
      </c>
      <c r="D6" s="6">
        <v>37.0</v>
      </c>
    </row>
    <row r="7" ht="12.75" customHeight="1">
      <c r="A7" s="6" t="s">
        <v>39</v>
      </c>
      <c r="B7" s="6">
        <v>2.45</v>
      </c>
      <c r="C7" s="6">
        <v>1.75</v>
      </c>
      <c r="D7" s="6">
        <v>39.0</v>
      </c>
    </row>
    <row r="8" ht="12.75" customHeight="1">
      <c r="A8" s="6" t="s">
        <v>40</v>
      </c>
      <c r="B8" s="6">
        <v>2.45</v>
      </c>
      <c r="C8" s="6">
        <v>1.25</v>
      </c>
      <c r="D8" s="6">
        <v>39.0</v>
      </c>
    </row>
    <row r="9" ht="12.75" customHeight="1">
      <c r="A9" s="6" t="s">
        <v>41</v>
      </c>
      <c r="B9" s="6">
        <v>2.5</v>
      </c>
      <c r="C9" s="6">
        <v>1.5</v>
      </c>
      <c r="D9" s="6">
        <v>37.0</v>
      </c>
    </row>
    <row r="10" ht="12.75" customHeight="1">
      <c r="A10" s="6" t="s">
        <v>42</v>
      </c>
      <c r="B10" s="6">
        <v>2.45</v>
      </c>
      <c r="C10" s="6">
        <v>1.5</v>
      </c>
      <c r="D10" s="6">
        <v>42.0</v>
      </c>
    </row>
    <row r="11" ht="12.75" customHeight="1">
      <c r="A11" s="6" t="s">
        <v>43</v>
      </c>
      <c r="B11" s="6">
        <v>2.5</v>
      </c>
      <c r="C11" s="6">
        <v>1.25</v>
      </c>
      <c r="D11" s="6">
        <v>39.0</v>
      </c>
    </row>
    <row r="12" ht="12.75" customHeight="1">
      <c r="A12" s="6" t="s">
        <v>44</v>
      </c>
      <c r="B12" s="6">
        <v>2.45</v>
      </c>
      <c r="C12" s="6">
        <v>1.75</v>
      </c>
      <c r="D12" s="6">
        <v>32.0</v>
      </c>
    </row>
    <row r="13" ht="12.75" customHeight="1">
      <c r="A13" s="6" t="s">
        <v>45</v>
      </c>
      <c r="B13" s="6">
        <v>2.45</v>
      </c>
      <c r="C13" s="6">
        <v>1.25</v>
      </c>
      <c r="D13" s="6">
        <v>36.0</v>
      </c>
    </row>
    <row r="14" ht="12.75" customHeight="1">
      <c r="A14" s="6" t="s">
        <v>46</v>
      </c>
      <c r="B14" s="6">
        <v>2.4</v>
      </c>
      <c r="C14" s="6">
        <v>1.75</v>
      </c>
      <c r="D14" s="6">
        <v>33.0</v>
      </c>
    </row>
    <row r="15" ht="12.75" customHeight="1">
      <c r="A15" s="6" t="s">
        <v>47</v>
      </c>
      <c r="B15" s="6">
        <v>2.6</v>
      </c>
      <c r="C15" s="6">
        <v>0.6</v>
      </c>
      <c r="D15" s="6">
        <v>36.0</v>
      </c>
    </row>
    <row r="16" ht="12.75" customHeight="1">
      <c r="A16" s="6" t="s">
        <v>48</v>
      </c>
      <c r="B16" s="6">
        <v>2.6</v>
      </c>
      <c r="C16" s="6">
        <v>1.75</v>
      </c>
      <c r="D16" s="6">
        <v>39.0</v>
      </c>
    </row>
    <row r="17" ht="12.75" customHeight="1">
      <c r="A17" s="6" t="s">
        <v>49</v>
      </c>
      <c r="B17" s="6">
        <v>2.42</v>
      </c>
      <c r="C17" s="6">
        <v>1.75</v>
      </c>
      <c r="D17" s="6">
        <v>40.0</v>
      </c>
    </row>
    <row r="18" ht="12.75" customHeight="1">
      <c r="A18" s="6" t="s">
        <v>50</v>
      </c>
      <c r="B18" s="6">
        <v>2.6</v>
      </c>
      <c r="C18" s="6">
        <v>1.4</v>
      </c>
      <c r="D18" s="6">
        <v>35.0</v>
      </c>
    </row>
    <row r="19" ht="12.75" customHeight="1">
      <c r="A19" s="6" t="s">
        <v>51</v>
      </c>
      <c r="B19" s="6">
        <v>2.5</v>
      </c>
      <c r="C19" s="6">
        <v>1.4</v>
      </c>
      <c r="D19" s="6">
        <v>40.0</v>
      </c>
    </row>
    <row r="20" ht="12.75" customHeight="1">
      <c r="A20" s="6" t="s">
        <v>52</v>
      </c>
      <c r="B20" s="6">
        <v>2.5</v>
      </c>
      <c r="C20" s="6">
        <v>1.4</v>
      </c>
      <c r="D20" s="6">
        <v>42.0</v>
      </c>
    </row>
    <row r="21" ht="12.75" customHeight="1">
      <c r="A21" s="6" t="s">
        <v>53</v>
      </c>
      <c r="B21" s="6">
        <v>2.5</v>
      </c>
      <c r="C21" s="6">
        <v>1.8</v>
      </c>
      <c r="D21" s="6">
        <v>38.0</v>
      </c>
    </row>
    <row r="22" ht="12.75" customHeight="1">
      <c r="A22" s="6" t="s">
        <v>54</v>
      </c>
      <c r="B22" s="6">
        <v>2.5</v>
      </c>
      <c r="C22" s="6">
        <v>1.8</v>
      </c>
      <c r="D22" s="6">
        <v>40.0</v>
      </c>
    </row>
    <row r="23" ht="12.75" customHeight="1">
      <c r="A23" s="6" t="s">
        <v>55</v>
      </c>
      <c r="B23" s="6">
        <v>2.5</v>
      </c>
      <c r="C23" s="6">
        <v>1.8</v>
      </c>
      <c r="D23" s="6">
        <v>42.0</v>
      </c>
    </row>
    <row r="24" ht="12.75" customHeight="1">
      <c r="A24" s="6" t="s">
        <v>12</v>
      </c>
      <c r="B24" s="6">
        <v>2.5</v>
      </c>
      <c r="C24" s="6">
        <v>1.2</v>
      </c>
      <c r="D24" s="6">
        <v>38.0</v>
      </c>
      <c r="E24" s="6">
        <v>2.13</v>
      </c>
      <c r="F24" s="6">
        <v>18.0</v>
      </c>
    </row>
    <row r="25" ht="12.75" customHeight="1">
      <c r="A25" s="6" t="s">
        <v>56</v>
      </c>
      <c r="B25" s="6">
        <v>2.5</v>
      </c>
      <c r="C25" s="6">
        <v>1.0</v>
      </c>
      <c r="D25" s="6">
        <v>36.0</v>
      </c>
      <c r="E25" s="6">
        <v>2.15</v>
      </c>
      <c r="F25" s="6">
        <v>18.0</v>
      </c>
    </row>
    <row r="26" ht="12.75" customHeight="1">
      <c r="A26" s="6" t="s">
        <v>18</v>
      </c>
      <c r="B26" s="6">
        <v>2.5</v>
      </c>
      <c r="C26" s="6">
        <v>1.8</v>
      </c>
      <c r="D26" s="6">
        <v>44.0</v>
      </c>
    </row>
    <row r="27" ht="12.75" customHeight="1">
      <c r="A27" s="6" t="s">
        <v>57</v>
      </c>
      <c r="B27" s="6">
        <v>2.5</v>
      </c>
      <c r="C27" s="6">
        <v>1.8</v>
      </c>
      <c r="D27" s="6">
        <v>41.0</v>
      </c>
    </row>
    <row r="28" ht="12.75" customHeight="1">
      <c r="A28" s="6" t="s">
        <v>58</v>
      </c>
      <c r="B28" s="6">
        <v>2.45</v>
      </c>
      <c r="C28" s="6">
        <v>1.25</v>
      </c>
      <c r="D28" s="6">
        <v>42.0</v>
      </c>
    </row>
    <row r="29" ht="12.75" customHeight="1">
      <c r="A29" s="6" t="s">
        <v>59</v>
      </c>
      <c r="B29" s="6">
        <v>2.5</v>
      </c>
      <c r="C29" s="6">
        <v>1.4</v>
      </c>
      <c r="D29" s="6">
        <v>36.0</v>
      </c>
      <c r="E29" s="6">
        <v>2.15</v>
      </c>
      <c r="F29" s="6">
        <v>18.0</v>
      </c>
    </row>
    <row r="30" ht="12.75" customHeight="1">
      <c r="A30" s="6" t="s">
        <v>60</v>
      </c>
      <c r="B30" s="6">
        <v>2.45</v>
      </c>
      <c r="C30" s="6">
        <v>1.5</v>
      </c>
      <c r="D30" s="6">
        <v>36.0</v>
      </c>
    </row>
    <row r="31" ht="12.75" customHeight="1">
      <c r="A31" s="6" t="s">
        <v>61</v>
      </c>
      <c r="B31" s="6">
        <v>2.48</v>
      </c>
      <c r="C31" s="6">
        <v>1.7</v>
      </c>
      <c r="D31" s="6">
        <v>44.0</v>
      </c>
    </row>
    <row r="32" ht="12.75" customHeight="1">
      <c r="A32" s="6" t="s">
        <v>62</v>
      </c>
      <c r="B32" s="6">
        <v>2.5</v>
      </c>
      <c r="C32" s="6">
        <v>1.8</v>
      </c>
      <c r="D32" s="6">
        <v>44.0</v>
      </c>
    </row>
    <row r="33" ht="12.75" customHeight="1">
      <c r="A33" s="6" t="s">
        <v>63</v>
      </c>
      <c r="B33" s="6">
        <v>2.5</v>
      </c>
      <c r="C33" s="6">
        <v>1.4</v>
      </c>
      <c r="D33" s="6">
        <v>40.0</v>
      </c>
      <c r="E33" s="6">
        <v>2.11</v>
      </c>
      <c r="F33" s="6">
        <v>18.0</v>
      </c>
    </row>
    <row r="34" ht="12.75" customHeight="1">
      <c r="A34" s="6" t="s">
        <v>64</v>
      </c>
      <c r="B34" s="6">
        <v>2.5</v>
      </c>
      <c r="C34" s="6">
        <v>1.4</v>
      </c>
      <c r="D34" s="6">
        <v>43.0</v>
      </c>
    </row>
    <row r="35" ht="12.75" customHeight="1">
      <c r="A35" s="6" t="s">
        <v>65</v>
      </c>
      <c r="B35" s="6">
        <v>2.5</v>
      </c>
      <c r="C35" s="6">
        <v>1.4</v>
      </c>
      <c r="D35" s="6">
        <v>38.0</v>
      </c>
      <c r="E35" s="6">
        <v>2.17</v>
      </c>
      <c r="F35" s="6">
        <v>20.0</v>
      </c>
    </row>
    <row r="36" ht="12.75" customHeight="1">
      <c r="A36" s="6" t="s">
        <v>66</v>
      </c>
      <c r="B36" s="6">
        <v>2.5</v>
      </c>
      <c r="C36" s="6">
        <v>1.4</v>
      </c>
      <c r="D36" s="6">
        <v>39.0</v>
      </c>
      <c r="E36" s="6">
        <v>2.12</v>
      </c>
      <c r="F36" s="6">
        <v>18.0</v>
      </c>
    </row>
    <row r="37" ht="12.75" customHeight="1">
      <c r="A37" s="6" t="s">
        <v>67</v>
      </c>
      <c r="B37" s="6">
        <v>2.5</v>
      </c>
      <c r="C37" s="6">
        <v>1.4</v>
      </c>
      <c r="D37" s="6">
        <v>38.0</v>
      </c>
      <c r="E37" s="6">
        <v>2.13</v>
      </c>
      <c r="F37" s="6">
        <v>18.0</v>
      </c>
    </row>
    <row r="38" ht="12.75" customHeight="1">
      <c r="A38" s="6" t="s">
        <v>68</v>
      </c>
      <c r="B38" s="6">
        <v>2.48</v>
      </c>
      <c r="C38" s="6">
        <v>1.45</v>
      </c>
      <c r="D38" s="6">
        <v>36.0</v>
      </c>
      <c r="E38" s="6">
        <v>2.28</v>
      </c>
      <c r="F38" s="6">
        <v>26.0</v>
      </c>
    </row>
    <row r="39" ht="12.75" customHeight="1">
      <c r="A39" s="6" t="s">
        <v>69</v>
      </c>
      <c r="B39" s="6">
        <v>2.5</v>
      </c>
      <c r="C39" s="6">
        <v>1.4</v>
      </c>
      <c r="D39" s="6">
        <v>40.0</v>
      </c>
      <c r="E39" s="6">
        <v>2.18</v>
      </c>
      <c r="F39" s="6">
        <v>22.0</v>
      </c>
    </row>
    <row r="40" ht="12.75" customHeight="1">
      <c r="A40" s="6" t="s">
        <v>70</v>
      </c>
      <c r="B40" s="6">
        <v>2.5</v>
      </c>
      <c r="C40" s="6">
        <v>1.4</v>
      </c>
      <c r="D40" s="6">
        <v>40.0</v>
      </c>
      <c r="E40" s="6">
        <v>2.14</v>
      </c>
      <c r="F40" s="6">
        <v>22.0</v>
      </c>
    </row>
    <row r="41" ht="12.75" customHeight="1">
      <c r="A41" s="6" t="s">
        <v>71</v>
      </c>
      <c r="B41" s="6">
        <v>2.5</v>
      </c>
      <c r="C41" s="6">
        <v>1.4</v>
      </c>
      <c r="D41" s="6">
        <v>38.0</v>
      </c>
      <c r="E41" s="6">
        <v>2.16</v>
      </c>
      <c r="F41" s="6">
        <v>22.0</v>
      </c>
    </row>
    <row r="42" ht="12.75" customHeight="1">
      <c r="A42" s="6" t="s">
        <v>72</v>
      </c>
      <c r="B42" s="6">
        <v>2.5</v>
      </c>
      <c r="C42" s="6">
        <v>1.4</v>
      </c>
      <c r="D42" s="6">
        <v>42.0</v>
      </c>
      <c r="E42" s="6">
        <v>2.16</v>
      </c>
      <c r="F42" s="6">
        <v>26.0</v>
      </c>
    </row>
    <row r="43" ht="12.75" customHeight="1">
      <c r="A43" s="6" t="s">
        <v>73</v>
      </c>
      <c r="B43" s="6">
        <v>2.5</v>
      </c>
      <c r="C43" s="6">
        <v>1.4</v>
      </c>
      <c r="D43" s="6">
        <v>39.0</v>
      </c>
      <c r="E43" s="6">
        <v>2.06</v>
      </c>
      <c r="F43" s="6">
        <v>20.0</v>
      </c>
    </row>
    <row r="44" ht="12.75" customHeight="1">
      <c r="A44" s="6" t="s">
        <v>74</v>
      </c>
      <c r="B44" s="6">
        <v>2.48</v>
      </c>
      <c r="C44" s="6">
        <v>1.3</v>
      </c>
      <c r="D44" s="6">
        <v>36.0</v>
      </c>
      <c r="E44" s="6">
        <v>2.28</v>
      </c>
      <c r="F44" s="6">
        <v>26.0</v>
      </c>
    </row>
    <row r="45" ht="12.75" customHeight="1">
      <c r="A45" s="6" t="s">
        <v>75</v>
      </c>
      <c r="B45" s="6">
        <v>2.5</v>
      </c>
      <c r="C45" s="6">
        <v>1.4</v>
      </c>
      <c r="D45" s="6">
        <v>40.0</v>
      </c>
      <c r="E45" s="6">
        <v>2.15</v>
      </c>
      <c r="F45" s="6">
        <v>20.0</v>
      </c>
    </row>
    <row r="46" ht="12.75" customHeight="1">
      <c r="A46" s="6" t="s">
        <v>76</v>
      </c>
      <c r="B46" s="6">
        <v>2.48</v>
      </c>
      <c r="C46" s="6">
        <v>1.6</v>
      </c>
      <c r="D46" s="6">
        <v>36.0</v>
      </c>
      <c r="E46" s="6">
        <v>2.25</v>
      </c>
      <c r="F46" s="6">
        <v>25.0</v>
      </c>
      <c r="G46" s="6">
        <v>11.0</v>
      </c>
    </row>
    <row r="47" ht="12.75" customHeight="1">
      <c r="A47" s="6" t="s">
        <v>77</v>
      </c>
      <c r="B47" s="6">
        <v>2.5</v>
      </c>
      <c r="C47" s="6">
        <v>1.4</v>
      </c>
      <c r="D47" s="6">
        <v>39.0</v>
      </c>
      <c r="E47" s="6">
        <v>2.2</v>
      </c>
      <c r="F47" s="6">
        <v>26.0</v>
      </c>
    </row>
    <row r="48" ht="12.75" customHeight="1">
      <c r="A48" s="6" t="s">
        <v>78</v>
      </c>
      <c r="B48" s="6">
        <v>2.5</v>
      </c>
      <c r="C48" s="6">
        <v>1.4</v>
      </c>
      <c r="D48" s="6">
        <v>39.0</v>
      </c>
      <c r="E48" s="6">
        <v>2.27</v>
      </c>
      <c r="F48" s="6">
        <v>26.0</v>
      </c>
    </row>
    <row r="49" ht="12.75" customHeight="1">
      <c r="A49" s="6" t="s">
        <v>79</v>
      </c>
      <c r="B49" s="6">
        <v>2.52</v>
      </c>
      <c r="C49" s="6">
        <v>1.4</v>
      </c>
      <c r="D49" s="6">
        <v>43.0</v>
      </c>
    </row>
    <row r="50" ht="12.75" customHeight="1">
      <c r="A50" s="6" t="s">
        <v>80</v>
      </c>
      <c r="B50" s="6">
        <v>2.5</v>
      </c>
      <c r="C50" s="6">
        <v>1.6</v>
      </c>
      <c r="D50" s="6">
        <v>36.0</v>
      </c>
      <c r="E50" s="6">
        <v>2.25</v>
      </c>
      <c r="F50" s="6">
        <v>25.0</v>
      </c>
      <c r="G50" s="6">
        <v>11.0</v>
      </c>
    </row>
    <row r="51" ht="12.75" customHeight="1">
      <c r="A51" s="6" t="s">
        <v>81</v>
      </c>
      <c r="B51" s="6">
        <v>2.52</v>
      </c>
      <c r="C51" s="6">
        <v>1.6</v>
      </c>
      <c r="D51" s="6">
        <v>36.0</v>
      </c>
      <c r="E51" s="6">
        <v>2.25</v>
      </c>
      <c r="F51" s="6">
        <v>25.0</v>
      </c>
      <c r="G51" s="6">
        <v>11.0</v>
      </c>
    </row>
    <row r="52" ht="12.75" customHeight="1">
      <c r="A52" s="6" t="s">
        <v>82</v>
      </c>
      <c r="B52" s="6">
        <v>2.45</v>
      </c>
      <c r="C52" s="6">
        <v>1.5</v>
      </c>
      <c r="D52" s="6">
        <v>40.0</v>
      </c>
      <c r="E52" s="6">
        <v>2.108</v>
      </c>
      <c r="F52" s="6">
        <v>18.0</v>
      </c>
    </row>
    <row r="53" ht="12.75" customHeight="1">
      <c r="A53" s="6" t="s">
        <v>83</v>
      </c>
      <c r="B53" s="6">
        <v>2.5</v>
      </c>
      <c r="C53" s="6">
        <v>1.2</v>
      </c>
      <c r="D53" s="6">
        <v>38.0</v>
      </c>
      <c r="E53" s="6">
        <v>2.17</v>
      </c>
      <c r="F53" s="6">
        <v>20.0</v>
      </c>
    </row>
    <row r="54" ht="12.75" customHeight="1">
      <c r="A54" s="6" t="s">
        <v>84</v>
      </c>
      <c r="B54" s="6">
        <v>2.5</v>
      </c>
      <c r="C54" s="6">
        <v>1.4</v>
      </c>
      <c r="D54" s="6">
        <v>37.0</v>
      </c>
      <c r="E54" s="6">
        <v>2.232</v>
      </c>
      <c r="F54" s="6">
        <v>25.0</v>
      </c>
    </row>
    <row r="55" ht="12.75" customHeight="1">
      <c r="A55" s="6" t="s">
        <v>85</v>
      </c>
      <c r="B55" s="6">
        <v>2.4</v>
      </c>
      <c r="C55" s="6">
        <v>1.6</v>
      </c>
      <c r="D55" s="6">
        <v>30.0</v>
      </c>
      <c r="E55" s="6">
        <v>2.25</v>
      </c>
      <c r="F55" s="6">
        <v>25.0</v>
      </c>
      <c r="G55" s="6">
        <v>11.0</v>
      </c>
    </row>
    <row r="56" ht="12.75" customHeight="1">
      <c r="A56" s="6" t="s">
        <v>86</v>
      </c>
      <c r="B56" s="6">
        <v>2.5</v>
      </c>
      <c r="C56" s="6">
        <v>1.4</v>
      </c>
      <c r="D56" s="6">
        <v>39.0</v>
      </c>
      <c r="E56" s="6">
        <v>2.23</v>
      </c>
      <c r="F56" s="6">
        <v>24.0</v>
      </c>
    </row>
    <row r="57" ht="12.75" customHeight="1">
      <c r="A57" s="6" t="s">
        <v>87</v>
      </c>
      <c r="B57" s="6">
        <v>2.46</v>
      </c>
      <c r="C57" s="6">
        <v>1.6</v>
      </c>
      <c r="D57" s="6">
        <v>39.0</v>
      </c>
      <c r="E57" s="6">
        <v>2.13</v>
      </c>
      <c r="F57" s="6">
        <v>25.0</v>
      </c>
      <c r="G57" s="6">
        <v>11.0</v>
      </c>
    </row>
    <row r="58" ht="12.75" customHeight="1">
      <c r="A58" s="6" t="s">
        <v>88</v>
      </c>
      <c r="B58" s="6">
        <v>2.44</v>
      </c>
      <c r="C58" s="6">
        <v>1.6</v>
      </c>
      <c r="D58" s="6">
        <v>39.0</v>
      </c>
      <c r="E58" s="6">
        <v>2.13</v>
      </c>
      <c r="F58" s="6">
        <v>26.0</v>
      </c>
      <c r="G58" s="6">
        <v>11.0</v>
      </c>
    </row>
    <row r="59" ht="12.75" customHeight="1">
      <c r="A59" s="6" t="s">
        <v>89</v>
      </c>
      <c r="B59" s="6">
        <v>2.48</v>
      </c>
      <c r="C59" s="6">
        <v>1.6</v>
      </c>
      <c r="D59" s="6">
        <v>39.0</v>
      </c>
      <c r="E59" s="6">
        <v>2.13</v>
      </c>
      <c r="F59" s="6">
        <v>26.0</v>
      </c>
      <c r="G59" s="6">
        <v>11.0</v>
      </c>
    </row>
    <row r="60" ht="12.75" customHeight="1">
      <c r="A60" s="6" t="s">
        <v>90</v>
      </c>
      <c r="B60" s="6">
        <v>2.46</v>
      </c>
      <c r="C60" s="6">
        <v>1.6</v>
      </c>
      <c r="D60" s="6">
        <v>39.0</v>
      </c>
      <c r="E60" s="6">
        <v>2.1</v>
      </c>
      <c r="F60" s="6">
        <v>25.0</v>
      </c>
      <c r="G60" s="6">
        <v>11.0</v>
      </c>
    </row>
    <row r="61" ht="12.75" customHeight="1">
      <c r="A61" s="6" t="s">
        <v>91</v>
      </c>
      <c r="B61" s="6">
        <v>2.45</v>
      </c>
      <c r="C61" s="6">
        <v>1.6</v>
      </c>
      <c r="D61" s="6">
        <v>39.0</v>
      </c>
      <c r="E61" s="6">
        <v>2.16</v>
      </c>
      <c r="F61" s="6">
        <v>25.0</v>
      </c>
      <c r="G61" s="6">
        <v>11.0</v>
      </c>
    </row>
    <row r="62" ht="12.75" customHeight="1">
      <c r="A62" s="6" t="s">
        <v>92</v>
      </c>
      <c r="B62" s="6">
        <v>2.44</v>
      </c>
      <c r="C62" s="6">
        <v>1.6</v>
      </c>
      <c r="D62" s="6">
        <v>39.0</v>
      </c>
      <c r="E62" s="6">
        <v>2.16</v>
      </c>
      <c r="F62" s="6">
        <v>25.0</v>
      </c>
      <c r="G62" s="6">
        <v>11.0</v>
      </c>
    </row>
    <row r="63" ht="12.75" customHeight="1">
      <c r="A63" s="6" t="s">
        <v>93</v>
      </c>
      <c r="B63" s="6">
        <v>2.44</v>
      </c>
      <c r="C63" s="6">
        <v>1.6</v>
      </c>
      <c r="D63" s="6">
        <v>39.0</v>
      </c>
      <c r="E63" s="6">
        <v>2.1</v>
      </c>
      <c r="F63" s="6">
        <v>25.0</v>
      </c>
      <c r="G63" s="6">
        <v>11.0</v>
      </c>
    </row>
    <row r="64" ht="12.75" customHeight="1">
      <c r="A64" s="6" t="s">
        <v>94</v>
      </c>
      <c r="B64" s="6">
        <v>2.42</v>
      </c>
      <c r="C64" s="6">
        <v>1.6</v>
      </c>
      <c r="D64" s="6">
        <v>39.0</v>
      </c>
      <c r="E64" s="6">
        <v>2.07</v>
      </c>
      <c r="F64" s="6">
        <v>26.0</v>
      </c>
      <c r="G64" s="6">
        <v>11.0</v>
      </c>
    </row>
    <row r="65" ht="12.75" customHeight="1">
      <c r="A65" s="6" t="s">
        <v>95</v>
      </c>
      <c r="B65" s="6">
        <v>2.48</v>
      </c>
      <c r="C65" s="6">
        <v>1.5</v>
      </c>
      <c r="D65" s="6">
        <v>39.0</v>
      </c>
      <c r="E65" s="6">
        <v>2.1</v>
      </c>
      <c r="F65" s="6">
        <v>25.0</v>
      </c>
      <c r="G65" s="6">
        <v>11.0</v>
      </c>
    </row>
    <row r="66" ht="12.75" customHeight="1">
      <c r="A66" s="6" t="s">
        <v>96</v>
      </c>
      <c r="B66" s="6">
        <v>2.42</v>
      </c>
      <c r="C66" s="6">
        <v>1.6</v>
      </c>
      <c r="D66" s="6">
        <v>39.0</v>
      </c>
      <c r="E66" s="6">
        <v>2.04</v>
      </c>
      <c r="F66" s="6">
        <v>25.0</v>
      </c>
      <c r="G66" s="6">
        <v>11.0</v>
      </c>
    </row>
    <row r="67" ht="12.75" customHeight="1">
      <c r="A67" s="6" t="s">
        <v>97</v>
      </c>
      <c r="B67" s="6">
        <v>2.44</v>
      </c>
      <c r="C67" s="6">
        <v>1.6</v>
      </c>
      <c r="D67" s="6">
        <v>39.0</v>
      </c>
      <c r="E67" s="6">
        <v>2.07</v>
      </c>
      <c r="F67" s="6">
        <v>25.0</v>
      </c>
      <c r="G67" s="6">
        <v>11.0</v>
      </c>
    </row>
    <row r="68" ht="12.75" customHeight="1">
      <c r="A68" s="6" t="s">
        <v>98</v>
      </c>
      <c r="B68" s="6">
        <v>2.5</v>
      </c>
      <c r="C68" s="6">
        <v>1.2</v>
      </c>
      <c r="D68" s="6">
        <v>38.0</v>
      </c>
      <c r="E68" s="6">
        <v>2.2</v>
      </c>
      <c r="F68" s="6">
        <v>22.0</v>
      </c>
    </row>
    <row r="69" ht="12.75" customHeight="1">
      <c r="A69" s="6" t="s">
        <v>99</v>
      </c>
      <c r="B69" s="6">
        <v>2.46</v>
      </c>
      <c r="C69" s="6">
        <v>1.55</v>
      </c>
      <c r="D69" s="6">
        <v>39.0</v>
      </c>
      <c r="E69" s="6">
        <v>2.5</v>
      </c>
      <c r="F69" s="6">
        <v>25.0</v>
      </c>
      <c r="G69" s="6">
        <v>11.0</v>
      </c>
    </row>
    <row r="70" ht="12.75" customHeight="1">
      <c r="A70" s="6" t="s">
        <v>100</v>
      </c>
      <c r="B70" s="6">
        <v>2.46</v>
      </c>
      <c r="C70" s="6">
        <v>1.6</v>
      </c>
      <c r="D70" s="6">
        <v>39.0</v>
      </c>
      <c r="E70" s="6">
        <v>2.07</v>
      </c>
      <c r="F70" s="6">
        <v>25.0</v>
      </c>
      <c r="G70" s="6">
        <v>11.0</v>
      </c>
    </row>
    <row r="71" ht="12.75" customHeight="1">
      <c r="A71" s="6" t="s">
        <v>101</v>
      </c>
      <c r="B71" s="6">
        <v>2.48</v>
      </c>
      <c r="C71" s="6">
        <v>1.6</v>
      </c>
      <c r="D71" s="6">
        <v>30.0</v>
      </c>
      <c r="E71" s="6">
        <v>2.07</v>
      </c>
      <c r="F71" s="6">
        <v>25.0</v>
      </c>
      <c r="G71" s="6">
        <v>11.0</v>
      </c>
    </row>
    <row r="72" ht="12.75" customHeight="1">
      <c r="A72" s="6" t="s">
        <v>102</v>
      </c>
      <c r="B72" s="6">
        <v>2.4</v>
      </c>
      <c r="C72" s="6">
        <v>1.6</v>
      </c>
      <c r="D72" s="6">
        <v>39.0</v>
      </c>
      <c r="E72" s="6">
        <v>2.07</v>
      </c>
      <c r="F72" s="6">
        <v>25.0</v>
      </c>
      <c r="G72" s="6">
        <v>11.0</v>
      </c>
    </row>
    <row r="73" ht="12.75" customHeight="1">
      <c r="A73" s="6" t="s">
        <v>103</v>
      </c>
      <c r="B73" s="6">
        <v>2.4</v>
      </c>
      <c r="C73" s="6">
        <v>1.6</v>
      </c>
      <c r="D73" s="6">
        <v>39.0</v>
      </c>
    </row>
    <row r="74" ht="12.75" customHeight="1">
      <c r="A74" s="6" t="s">
        <v>104</v>
      </c>
      <c r="B74" s="6">
        <v>2.44</v>
      </c>
      <c r="C74" s="6">
        <v>1.55</v>
      </c>
      <c r="D74" s="6">
        <v>39.0</v>
      </c>
      <c r="E74" s="6">
        <v>2.07</v>
      </c>
      <c r="F74" s="6">
        <v>25.0</v>
      </c>
      <c r="G74" s="6">
        <v>11.0</v>
      </c>
    </row>
    <row r="75" ht="12.75" customHeight="1">
      <c r="A75" s="6" t="s">
        <v>105</v>
      </c>
      <c r="B75" s="6">
        <v>2.48</v>
      </c>
      <c r="C75" s="6">
        <v>1.55</v>
      </c>
      <c r="D75" s="6">
        <v>39.0</v>
      </c>
      <c r="E75" s="6">
        <v>2.1</v>
      </c>
      <c r="F75" s="6">
        <v>25.0</v>
      </c>
      <c r="G75" s="6">
        <v>11.0</v>
      </c>
    </row>
    <row r="76" ht="12.75" customHeight="1">
      <c r="A76" s="6" t="s">
        <v>106</v>
      </c>
      <c r="B76" s="6">
        <v>2.44</v>
      </c>
      <c r="C76" s="6">
        <v>1.55</v>
      </c>
      <c r="D76" s="6">
        <v>39.0</v>
      </c>
      <c r="E76" s="6">
        <v>2.04</v>
      </c>
      <c r="F76" s="6">
        <v>26.0</v>
      </c>
      <c r="G76" s="6">
        <v>11.0</v>
      </c>
    </row>
    <row r="77" ht="12.75" customHeight="1">
      <c r="A77" s="6" t="s">
        <v>107</v>
      </c>
      <c r="B77" s="6">
        <v>2.48</v>
      </c>
      <c r="C77" s="6">
        <v>1.6</v>
      </c>
      <c r="D77" s="6">
        <v>39.0</v>
      </c>
      <c r="E77" s="6">
        <v>2.1</v>
      </c>
      <c r="F77" s="6">
        <v>26.0</v>
      </c>
      <c r="G77" s="6">
        <v>11.0</v>
      </c>
    </row>
    <row r="78" ht="12.75" customHeight="1">
      <c r="A78" s="6" t="s">
        <v>108</v>
      </c>
      <c r="B78" s="6">
        <v>2.46</v>
      </c>
      <c r="C78" s="6">
        <v>1.6</v>
      </c>
      <c r="D78" s="6">
        <v>39.0</v>
      </c>
      <c r="E78" s="6">
        <v>2.07</v>
      </c>
      <c r="F78" s="6">
        <v>26.0</v>
      </c>
      <c r="G78" s="6">
        <v>11.0</v>
      </c>
    </row>
    <row r="79" ht="12.75" customHeight="1">
      <c r="A79" s="6" t="s">
        <v>109</v>
      </c>
      <c r="B79" s="6">
        <v>2.48</v>
      </c>
      <c r="C79" s="6">
        <v>1.45</v>
      </c>
      <c r="D79" s="6">
        <v>39.0</v>
      </c>
      <c r="E79" s="6">
        <v>2.1</v>
      </c>
      <c r="F79" s="6">
        <v>25.0</v>
      </c>
      <c r="G79" s="6">
        <v>11.0</v>
      </c>
    </row>
    <row r="80" ht="12.75" customHeight="1">
      <c r="A80" s="6" t="s">
        <v>110</v>
      </c>
      <c r="B80" s="6">
        <v>2.56</v>
      </c>
      <c r="C80" s="6">
        <v>1.43</v>
      </c>
      <c r="D80" s="6">
        <v>32.4</v>
      </c>
      <c r="E80" s="6">
        <v>2.12</v>
      </c>
      <c r="F80" s="6">
        <v>16.2</v>
      </c>
    </row>
    <row r="81" ht="12.75" customHeight="1">
      <c r="A81" s="6" t="s">
        <v>111</v>
      </c>
      <c r="B81" s="6">
        <v>2.48</v>
      </c>
      <c r="C81" s="6">
        <v>1.5</v>
      </c>
      <c r="D81" s="6">
        <v>39.0</v>
      </c>
      <c r="E81" s="6">
        <v>2.07</v>
      </c>
      <c r="F81" s="6">
        <v>25.0</v>
      </c>
      <c r="G81" s="6">
        <v>11.0</v>
      </c>
    </row>
    <row r="82" ht="12.75" customHeight="1">
      <c r="A82" s="6" t="s">
        <v>112</v>
      </c>
      <c r="B82" s="6">
        <v>2.5</v>
      </c>
      <c r="C82" s="6">
        <v>1.75</v>
      </c>
      <c r="D82" s="6">
        <v>42.0</v>
      </c>
    </row>
    <row r="83" ht="12.75" customHeight="1">
      <c r="A83" s="6" t="s">
        <v>113</v>
      </c>
      <c r="B83" s="6">
        <v>2.47</v>
      </c>
      <c r="C83" s="6">
        <v>1.4</v>
      </c>
      <c r="D83" s="6">
        <v>39.0</v>
      </c>
      <c r="E83" s="6">
        <v>2.27</v>
      </c>
      <c r="F83" s="6">
        <v>26.0</v>
      </c>
    </row>
    <row r="84" ht="12.75" customHeight="1">
      <c r="A84" s="6" t="s">
        <v>114</v>
      </c>
      <c r="B84" s="6">
        <v>2.5</v>
      </c>
      <c r="C84" s="6">
        <v>1.6</v>
      </c>
      <c r="D84" s="6">
        <v>38.0</v>
      </c>
    </row>
    <row r="85" ht="12.75" customHeight="1">
      <c r="A85" s="6" t="s">
        <v>115</v>
      </c>
      <c r="B85" s="6">
        <v>2.5</v>
      </c>
      <c r="C85" s="6">
        <v>1.6</v>
      </c>
      <c r="D85" s="6">
        <v>40.0</v>
      </c>
    </row>
    <row r="86" ht="12.75" customHeight="1">
      <c r="A86" s="6" t="s">
        <v>116</v>
      </c>
      <c r="B86" s="6">
        <v>2.5</v>
      </c>
      <c r="C86" s="6">
        <v>1.65</v>
      </c>
      <c r="D86" s="6">
        <v>38.0</v>
      </c>
    </row>
    <row r="87" ht="12.75" customHeight="1">
      <c r="A87" s="6" t="s">
        <v>117</v>
      </c>
      <c r="B87" s="6">
        <v>2.5</v>
      </c>
      <c r="C87" s="6">
        <v>1.65</v>
      </c>
      <c r="D87" s="6">
        <v>40.0</v>
      </c>
    </row>
    <row r="88" ht="12.75" customHeight="1">
      <c r="A88" s="6" t="s">
        <v>118</v>
      </c>
      <c r="B88" s="6">
        <v>2.52</v>
      </c>
      <c r="C88" s="6">
        <v>1.8</v>
      </c>
      <c r="D88" s="6">
        <v>41.0</v>
      </c>
    </row>
    <row r="89" ht="12.75" customHeight="1">
      <c r="A89" s="6" t="s">
        <v>119</v>
      </c>
      <c r="B89" s="6">
        <v>2.46</v>
      </c>
      <c r="C89" s="6">
        <v>1.4</v>
      </c>
      <c r="D89" s="6">
        <v>40.0</v>
      </c>
    </row>
    <row r="90" ht="12.75" customHeight="1">
      <c r="A90" s="6" t="s">
        <v>120</v>
      </c>
      <c r="B90" s="6">
        <v>2.5</v>
      </c>
      <c r="C90" s="6">
        <v>1.8</v>
      </c>
      <c r="D90" s="6">
        <v>40.0</v>
      </c>
    </row>
    <row r="91" ht="12.75" customHeight="1">
      <c r="A91" s="6" t="s">
        <v>121</v>
      </c>
      <c r="B91" s="6">
        <v>2.5</v>
      </c>
      <c r="C91" s="6">
        <v>1.4</v>
      </c>
      <c r="D91" s="6">
        <v>34.0</v>
      </c>
    </row>
    <row r="92" ht="12.75" customHeight="1">
      <c r="A92" s="6" t="s">
        <v>122</v>
      </c>
      <c r="B92" s="6">
        <v>2.5</v>
      </c>
      <c r="C92" s="6">
        <v>1.4</v>
      </c>
      <c r="D92" s="6">
        <v>38.0</v>
      </c>
    </row>
    <row r="93" ht="12.75" customHeight="1">
      <c r="A93" s="6" t="s">
        <v>123</v>
      </c>
      <c r="B93" s="6">
        <v>2.5</v>
      </c>
      <c r="C93" s="6">
        <v>1.4</v>
      </c>
      <c r="D93" s="6">
        <v>40.0</v>
      </c>
    </row>
    <row r="94" ht="12.75" customHeight="1">
      <c r="A94" s="6" t="s">
        <v>124</v>
      </c>
      <c r="B94" s="6">
        <v>2.5</v>
      </c>
      <c r="C94" s="6">
        <v>1.4</v>
      </c>
      <c r="D94" s="6">
        <v>42.0</v>
      </c>
    </row>
    <row r="95" ht="12.75" customHeight="1">
      <c r="A95" s="6" t="s">
        <v>125</v>
      </c>
      <c r="B95" s="6">
        <v>2.5</v>
      </c>
      <c r="C95" s="6">
        <v>1.8</v>
      </c>
      <c r="D95" s="6">
        <v>38.0</v>
      </c>
    </row>
    <row r="96" ht="12.75" customHeight="1">
      <c r="A96" s="6" t="s">
        <v>126</v>
      </c>
      <c r="B96" s="6">
        <v>2.5</v>
      </c>
      <c r="C96" s="6">
        <v>1.8</v>
      </c>
      <c r="D96" s="6">
        <v>42.0</v>
      </c>
    </row>
    <row r="97" ht="12.75" customHeight="1">
      <c r="A97" s="6" t="s">
        <v>127</v>
      </c>
      <c r="B97" s="6">
        <v>2.48</v>
      </c>
      <c r="C97" s="6">
        <v>1.0</v>
      </c>
      <c r="D97" s="6">
        <v>28.0</v>
      </c>
      <c r="E97" s="6">
        <v>2.16</v>
      </c>
      <c r="F97" s="6">
        <v>18.0</v>
      </c>
    </row>
    <row r="98" ht="12.75" customHeight="1">
      <c r="A98" s="6" t="s">
        <v>128</v>
      </c>
      <c r="B98" s="6">
        <v>2.5</v>
      </c>
      <c r="C98" s="6">
        <v>1.0</v>
      </c>
      <c r="D98" s="6">
        <v>30.0</v>
      </c>
      <c r="E98" s="6">
        <v>2.06</v>
      </c>
      <c r="F98" s="6">
        <v>18.0</v>
      </c>
    </row>
    <row r="99" ht="12.75" customHeight="1">
      <c r="A99" s="6" t="s">
        <v>129</v>
      </c>
      <c r="B99" s="6">
        <v>2.5</v>
      </c>
      <c r="C99" s="6">
        <v>1.0</v>
      </c>
      <c r="D99" s="6">
        <v>28.0</v>
      </c>
      <c r="E99" s="6">
        <v>2.11</v>
      </c>
      <c r="F99" s="6">
        <v>16.0</v>
      </c>
    </row>
    <row r="100" ht="12.75" customHeight="1">
      <c r="A100" s="6" t="s">
        <v>130</v>
      </c>
      <c r="B100" s="6">
        <v>2.5</v>
      </c>
      <c r="C100" s="6">
        <v>1.4</v>
      </c>
      <c r="D100" s="6">
        <v>32.0</v>
      </c>
    </row>
    <row r="101" ht="12.75" customHeight="1">
      <c r="A101" s="6" t="s">
        <v>131</v>
      </c>
      <c r="B101" s="6">
        <v>2.45</v>
      </c>
      <c r="C101" s="6">
        <v>1.2</v>
      </c>
      <c r="D101" s="6">
        <v>28.0</v>
      </c>
    </row>
    <row r="102" ht="12.75" customHeight="1">
      <c r="A102" s="6" t="s">
        <v>132</v>
      </c>
      <c r="B102" s="6">
        <v>2.48</v>
      </c>
      <c r="C102" s="6">
        <v>0.6</v>
      </c>
      <c r="D102" s="6">
        <v>28.0</v>
      </c>
      <c r="E102" s="6">
        <v>2.23</v>
      </c>
      <c r="F102" s="6">
        <v>18.0</v>
      </c>
    </row>
    <row r="103" ht="12.75" customHeight="1">
      <c r="A103" s="6" t="s">
        <v>133</v>
      </c>
      <c r="B103" s="6">
        <v>2.5</v>
      </c>
      <c r="C103" s="6">
        <v>1.2</v>
      </c>
      <c r="D103" s="6">
        <v>32.0</v>
      </c>
    </row>
    <row r="104" ht="12.75" customHeight="1">
      <c r="A104" s="6" t="s">
        <v>20</v>
      </c>
      <c r="B104" s="6">
        <v>2.5</v>
      </c>
      <c r="C104" s="6">
        <v>1.8</v>
      </c>
      <c r="D104" s="6">
        <v>32.0</v>
      </c>
    </row>
    <row r="105" ht="12.75" customHeight="1">
      <c r="A105" s="6" t="s">
        <v>134</v>
      </c>
      <c r="B105" s="6">
        <v>2.5</v>
      </c>
      <c r="C105" s="6">
        <v>0.6</v>
      </c>
      <c r="D105" s="6">
        <v>35.0</v>
      </c>
    </row>
    <row r="106" ht="12.75" customHeight="1">
      <c r="A106" s="6" t="s">
        <v>135</v>
      </c>
      <c r="B106" s="6">
        <v>2.48</v>
      </c>
      <c r="C106" s="6">
        <v>1.0</v>
      </c>
      <c r="D106" s="6">
        <v>34.0</v>
      </c>
    </row>
    <row r="107" ht="12.75" customHeight="1">
      <c r="A107" s="6" t="s">
        <v>136</v>
      </c>
      <c r="B107" s="6">
        <v>2.44</v>
      </c>
      <c r="C107" s="6">
        <v>1.0</v>
      </c>
      <c r="D107" s="6">
        <v>32.5</v>
      </c>
    </row>
    <row r="108" ht="12.75" customHeight="1">
      <c r="A108" s="6" t="s">
        <v>137</v>
      </c>
      <c r="B108" s="6">
        <v>2.44</v>
      </c>
      <c r="C108" s="6">
        <v>1.0</v>
      </c>
      <c r="D108" s="6">
        <v>34.5</v>
      </c>
    </row>
    <row r="109" ht="12.75" customHeight="1">
      <c r="A109" s="6" t="s">
        <v>138</v>
      </c>
      <c r="B109" s="6">
        <v>2.44</v>
      </c>
      <c r="C109" s="6">
        <v>1.0</v>
      </c>
      <c r="D109" s="6">
        <v>36.0</v>
      </c>
    </row>
    <row r="110" ht="12.75" customHeight="1">
      <c r="A110" s="6" t="s">
        <v>139</v>
      </c>
      <c r="B110" s="6">
        <v>2.5</v>
      </c>
      <c r="C110" s="6">
        <v>1.0</v>
      </c>
      <c r="D110" s="6">
        <v>36.5</v>
      </c>
    </row>
    <row r="111" ht="12.75" customHeight="1">
      <c r="A111" s="6" t="s">
        <v>140</v>
      </c>
      <c r="B111" s="6">
        <v>2.46</v>
      </c>
      <c r="C111" s="6">
        <v>1.0</v>
      </c>
      <c r="D111" s="6">
        <v>36.5</v>
      </c>
    </row>
    <row r="112" ht="12.75" customHeight="1">
      <c r="A112" s="6" t="s">
        <v>141</v>
      </c>
      <c r="B112" s="6">
        <v>2.46</v>
      </c>
      <c r="C112" s="6">
        <v>1.0</v>
      </c>
      <c r="D112" s="6">
        <v>34.0</v>
      </c>
    </row>
    <row r="113" ht="12.75" customHeight="1">
      <c r="A113" s="6" t="s">
        <v>142</v>
      </c>
      <c r="B113" s="6">
        <v>2.48</v>
      </c>
      <c r="C113" s="6">
        <v>1.0</v>
      </c>
      <c r="D113" s="6">
        <v>36.5</v>
      </c>
    </row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18.38"/>
    <col customWidth="1" min="3" max="3" width="15.88"/>
    <col customWidth="1" min="4" max="5" width="11.63"/>
    <col customWidth="1" min="6" max="6" width="11.5"/>
    <col customWidth="1" min="7" max="26" width="8.63"/>
  </cols>
  <sheetData>
    <row r="1" ht="12.75" customHeight="1">
      <c r="A1" s="2" t="s">
        <v>143</v>
      </c>
      <c r="B1" s="8" t="str">
        <f>Chart!$B$5</f>
        <v>K24</v>
      </c>
    </row>
    <row r="2" ht="12.75" customHeight="1">
      <c r="A2" s="2" t="s">
        <v>144</v>
      </c>
      <c r="B2" s="9">
        <f>Chart!$D$5</f>
        <v>34</v>
      </c>
    </row>
    <row r="3" ht="12.75" customHeight="1">
      <c r="A3" s="2" t="s">
        <v>145</v>
      </c>
      <c r="B3" s="9">
        <f>Chart!$C$5</f>
        <v>2</v>
      </c>
    </row>
    <row r="4" ht="12.75" customHeight="1">
      <c r="A4" s="2" t="s">
        <v>146</v>
      </c>
      <c r="B4" s="10">
        <v>1.2</v>
      </c>
    </row>
    <row r="5" ht="12.75" customHeight="1">
      <c r="A5" s="2" t="s">
        <v>147</v>
      </c>
      <c r="B5" s="10">
        <v>26.4</v>
      </c>
    </row>
    <row r="6" ht="12.75" customHeight="1">
      <c r="A6" s="2" t="s">
        <v>148</v>
      </c>
      <c r="B6" s="6">
        <f>LOOKUP(LEFT(Chart!$B$5,1),'Needle Data'!$J2:$J3,'Needle Data'!$K2:$K3)</f>
        <v>73.5</v>
      </c>
    </row>
    <row r="7" ht="12.75" customHeight="1">
      <c r="A7" s="2" t="s">
        <v>149</v>
      </c>
      <c r="B7" s="11">
        <f>$B$6 - $B$5 - ($B$3-1)*$B$4 + $B$18 + ($B$2 - 34)/2</f>
        <v>47.9</v>
      </c>
    </row>
    <row r="8" ht="12.75" customHeight="1">
      <c r="A8" s="2" t="s">
        <v>22</v>
      </c>
      <c r="B8" s="6">
        <f>VLOOKUP($B$1,'Needle Data'!$A$2:$G$113,2,0)</f>
        <v>2.5</v>
      </c>
    </row>
    <row r="9" ht="12.75" customHeight="1">
      <c r="A9" s="2" t="s">
        <v>23</v>
      </c>
      <c r="B9" s="6">
        <f>VLOOKUP($B$1,'Needle Data'!$A$2:$G$113,3,0)</f>
        <v>1.2</v>
      </c>
    </row>
    <row r="10" ht="12.75" customHeight="1">
      <c r="A10" s="2" t="s">
        <v>24</v>
      </c>
      <c r="B10" s="6">
        <f>VLOOKUP($B$1,'Needle Data'!$A$2:$G$113,4,0)</f>
        <v>38</v>
      </c>
    </row>
    <row r="11" ht="12.75" customHeight="1">
      <c r="A11" s="2" t="s">
        <v>25</v>
      </c>
      <c r="B11" s="6">
        <f>VLOOKUP($B$1,'Needle Data'!$A$2:$G$113,5,0)</f>
        <v>2.13</v>
      </c>
    </row>
    <row r="12" ht="12.75" customHeight="1">
      <c r="A12" s="2" t="s">
        <v>26</v>
      </c>
      <c r="B12" s="6">
        <f>VLOOKUP($B$1,'Needle Data'!$A$2:$G$113,6,0)</f>
        <v>18</v>
      </c>
    </row>
    <row r="13" ht="12.75" customHeight="1">
      <c r="A13" s="2" t="s">
        <v>27</v>
      </c>
      <c r="B13" s="6" t="str">
        <f>VLOOKUP($B$1,'Needle Data'!$A$2:$G$113,7,0)</f>
        <v/>
      </c>
    </row>
    <row r="14" ht="12.75" customHeight="1">
      <c r="A14" s="2" t="s">
        <v>150</v>
      </c>
      <c r="B14" s="6">
        <f>IF($B$13,3,IF($B$12,2,1))</f>
        <v>2</v>
      </c>
    </row>
    <row r="15" ht="12.75" customHeight="1">
      <c r="A15" s="2" t="s">
        <v>6</v>
      </c>
      <c r="B15" s="6">
        <f>Chart!$E$5</f>
        <v>270</v>
      </c>
    </row>
    <row r="16" ht="12.75" customHeight="1">
      <c r="A16" s="2" t="s">
        <v>10</v>
      </c>
      <c r="B16" s="6">
        <f>Chart!$I$5</f>
        <v>170</v>
      </c>
    </row>
    <row r="17" ht="12.75" customHeight="1">
      <c r="A17" s="2" t="s">
        <v>9</v>
      </c>
      <c r="B17" s="6">
        <f>Chart!$H$5</f>
        <v>50</v>
      </c>
    </row>
    <row r="18" ht="12.75" customHeight="1">
      <c r="A18" s="2" t="s">
        <v>151</v>
      </c>
      <c r="B18" s="11">
        <f>LOOKUP(Chart!$F$5,'Needle Data'!$M2:$M4,'Needle Data'!$N2:$N4)</f>
        <v>2</v>
      </c>
    </row>
    <row r="19" ht="12.75" customHeight="1"/>
    <row r="20" ht="12.75" customHeight="1">
      <c r="A20" s="3" t="s">
        <v>152</v>
      </c>
      <c r="B20" s="3" t="s">
        <v>153</v>
      </c>
      <c r="C20" s="3" t="s">
        <v>25</v>
      </c>
    </row>
    <row r="21" ht="12.75" customHeight="1">
      <c r="A21" s="3">
        <v>1.0</v>
      </c>
      <c r="B21" s="4">
        <f>IF(B$14=1,(B$8-B$9)/B$10,(B$8-B$11)/(B$10-B$12))</f>
        <v>0.0185</v>
      </c>
      <c r="C21" s="4">
        <f>IF(B$14=1,B$9,B$11)</f>
        <v>2.13</v>
      </c>
    </row>
    <row r="22" ht="12.75" customHeight="1">
      <c r="A22" s="3">
        <v>2.0</v>
      </c>
      <c r="B22" s="4">
        <f>IF(B$14=1,0,(B$11-B$9)/(B$12-B$13))</f>
        <v>0.05166666667</v>
      </c>
      <c r="C22" s="4">
        <f>IF(B$14=1,0,B$9)</f>
        <v>1.2</v>
      </c>
    </row>
    <row r="23" ht="12.75" customHeight="1"/>
    <row r="24" ht="12.75" customHeight="1">
      <c r="A24" s="3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</row>
    <row r="25" ht="12.75" customHeight="1">
      <c r="A25" s="12">
        <v>0.0</v>
      </c>
      <c r="B25" s="13">
        <f t="shared" ref="B25:B48" si="1">$B$7-$A25*$B$2</f>
        <v>47.9</v>
      </c>
      <c r="C25" s="14">
        <f t="shared" ref="C25:C48" si="2">IF($B25&gt;B$10,B$8,IF($B25&lt;0,0,IF($B25&lt;B$13,B$9,IF($B25&lt;=B$12,B$22*($B25-B$13)+B$9,B$21*($B25-B$12)+C$21))))</f>
        <v>2.5</v>
      </c>
      <c r="D25" s="15">
        <f t="shared" ref="D25:D48" si="3">SQRT($B$15^2-($C25*100)^2)</f>
        <v>101.9803903</v>
      </c>
      <c r="E25" s="16">
        <f>$B$17*1+$D25*0</f>
        <v>50</v>
      </c>
    </row>
    <row r="26" ht="12.75" customHeight="1">
      <c r="A26" s="12">
        <v>0.05</v>
      </c>
      <c r="B26" s="13">
        <f t="shared" si="1"/>
        <v>46.2</v>
      </c>
      <c r="C26" s="14">
        <f t="shared" si="2"/>
        <v>2.5</v>
      </c>
      <c r="D26" s="16">
        <f t="shared" si="3"/>
        <v>101.9803903</v>
      </c>
      <c r="E26" s="16">
        <f>$B$17*0.8+$D26*0.2</f>
        <v>60.39607805</v>
      </c>
    </row>
    <row r="27" ht="12.75" customHeight="1">
      <c r="A27" s="12">
        <v>0.1</v>
      </c>
      <c r="B27" s="13">
        <f t="shared" si="1"/>
        <v>44.5</v>
      </c>
      <c r="C27" s="14">
        <f t="shared" si="2"/>
        <v>2.5</v>
      </c>
      <c r="D27" s="16">
        <f t="shared" si="3"/>
        <v>101.9803903</v>
      </c>
      <c r="E27" s="16">
        <f>$B$17*0.6+$D27*0.4</f>
        <v>70.79215611</v>
      </c>
    </row>
    <row r="28" ht="12.75" customHeight="1">
      <c r="A28" s="12">
        <v>0.15</v>
      </c>
      <c r="B28" s="13">
        <f t="shared" si="1"/>
        <v>42.8</v>
      </c>
      <c r="C28" s="14">
        <f t="shared" si="2"/>
        <v>2.5</v>
      </c>
      <c r="D28" s="16">
        <f t="shared" si="3"/>
        <v>101.9803903</v>
      </c>
      <c r="E28" s="16">
        <f>$B$17*0.4+$D28*0.6</f>
        <v>81.18823416</v>
      </c>
    </row>
    <row r="29" ht="12.75" customHeight="1">
      <c r="A29" s="12">
        <v>0.2</v>
      </c>
      <c r="B29" s="13">
        <f t="shared" si="1"/>
        <v>41.1</v>
      </c>
      <c r="C29" s="14">
        <f t="shared" si="2"/>
        <v>2.5</v>
      </c>
      <c r="D29" s="16">
        <f t="shared" si="3"/>
        <v>101.9803903</v>
      </c>
      <c r="E29" s="16">
        <f>$B$17*0.2+$D29*0.8</f>
        <v>91.58431222</v>
      </c>
    </row>
    <row r="30" ht="12.75" customHeight="1">
      <c r="A30" s="12">
        <v>0.25</v>
      </c>
      <c r="B30" s="13">
        <f t="shared" si="1"/>
        <v>39.4</v>
      </c>
      <c r="C30" s="14">
        <f t="shared" si="2"/>
        <v>2.5</v>
      </c>
      <c r="D30" s="16">
        <f t="shared" si="3"/>
        <v>101.9803903</v>
      </c>
      <c r="E30" s="16">
        <f>$B$17*0.1+$D30*0.9</f>
        <v>96.78235124</v>
      </c>
    </row>
    <row r="31" ht="12.75" customHeight="1">
      <c r="A31" s="12">
        <v>0.3</v>
      </c>
      <c r="B31" s="13">
        <f t="shared" si="1"/>
        <v>37.7</v>
      </c>
      <c r="C31" s="14">
        <f t="shared" si="2"/>
        <v>2.49445</v>
      </c>
      <c r="D31" s="16">
        <f t="shared" si="3"/>
        <v>103.3304988</v>
      </c>
      <c r="E31" s="16">
        <f>$B$17*0.05+$D31*0.95</f>
        <v>100.6639738</v>
      </c>
    </row>
    <row r="32" ht="12.75" customHeight="1">
      <c r="A32" s="12">
        <v>0.35</v>
      </c>
      <c r="B32" s="13">
        <f t="shared" si="1"/>
        <v>36</v>
      </c>
      <c r="C32" s="14">
        <f t="shared" si="2"/>
        <v>2.463</v>
      </c>
      <c r="D32" s="16">
        <f t="shared" si="3"/>
        <v>110.6178557</v>
      </c>
      <c r="E32" s="16">
        <f t="shared" ref="E32:E48" si="4">IF($B$16&lt;$D32,$B$16,$D32)</f>
        <v>110.6178557</v>
      </c>
    </row>
    <row r="33" ht="12.75" customHeight="1">
      <c r="A33" s="12">
        <v>0.4</v>
      </c>
      <c r="B33" s="13">
        <f t="shared" si="1"/>
        <v>34.3</v>
      </c>
      <c r="C33" s="14">
        <f t="shared" si="2"/>
        <v>2.43155</v>
      </c>
      <c r="D33" s="16">
        <f t="shared" si="3"/>
        <v>117.3696979</v>
      </c>
      <c r="E33" s="16">
        <f t="shared" si="4"/>
        <v>117.3696979</v>
      </c>
    </row>
    <row r="34" ht="12.75" customHeight="1">
      <c r="A34" s="12">
        <v>0.45</v>
      </c>
      <c r="B34" s="13">
        <f t="shared" si="1"/>
        <v>32.6</v>
      </c>
      <c r="C34" s="14">
        <f t="shared" si="2"/>
        <v>2.4001</v>
      </c>
      <c r="D34" s="16">
        <f t="shared" si="3"/>
        <v>123.673764</v>
      </c>
      <c r="E34" s="16">
        <f t="shared" si="4"/>
        <v>123.673764</v>
      </c>
    </row>
    <row r="35" ht="12.75" customHeight="1">
      <c r="A35" s="12">
        <v>0.5</v>
      </c>
      <c r="B35" s="13">
        <f t="shared" si="1"/>
        <v>30.9</v>
      </c>
      <c r="C35" s="14">
        <f t="shared" si="2"/>
        <v>2.36865</v>
      </c>
      <c r="D35" s="16">
        <f t="shared" si="3"/>
        <v>129.5954157</v>
      </c>
      <c r="E35" s="16">
        <f t="shared" si="4"/>
        <v>129.5954157</v>
      </c>
    </row>
    <row r="36" ht="12.75" customHeight="1">
      <c r="A36" s="12">
        <v>0.55</v>
      </c>
      <c r="B36" s="13">
        <f t="shared" si="1"/>
        <v>29.2</v>
      </c>
      <c r="C36" s="14">
        <f t="shared" si="2"/>
        <v>2.3372</v>
      </c>
      <c r="D36" s="16">
        <f t="shared" si="3"/>
        <v>135.1849163</v>
      </c>
      <c r="E36" s="16">
        <f t="shared" si="4"/>
        <v>135.1849163</v>
      </c>
    </row>
    <row r="37" ht="12.75" customHeight="1">
      <c r="A37" s="12">
        <v>0.6</v>
      </c>
      <c r="B37" s="13">
        <f t="shared" si="1"/>
        <v>27.5</v>
      </c>
      <c r="C37" s="14">
        <f t="shared" si="2"/>
        <v>2.30575</v>
      </c>
      <c r="D37" s="16">
        <f t="shared" si="3"/>
        <v>140.4819183</v>
      </c>
      <c r="E37" s="16">
        <f t="shared" si="4"/>
        <v>140.4819183</v>
      </c>
    </row>
    <row r="38" ht="12.75" customHeight="1">
      <c r="A38" s="12">
        <v>0.65</v>
      </c>
      <c r="B38" s="13">
        <f t="shared" si="1"/>
        <v>25.8</v>
      </c>
      <c r="C38" s="14">
        <f t="shared" si="2"/>
        <v>2.2743</v>
      </c>
      <c r="D38" s="16">
        <f t="shared" si="3"/>
        <v>145.5183669</v>
      </c>
      <c r="E38" s="16">
        <f t="shared" si="4"/>
        <v>145.5183669</v>
      </c>
    </row>
    <row r="39" ht="12.75" customHeight="1">
      <c r="A39" s="12">
        <v>0.7</v>
      </c>
      <c r="B39" s="13">
        <f t="shared" si="1"/>
        <v>24.1</v>
      </c>
      <c r="C39" s="14">
        <f t="shared" si="2"/>
        <v>2.24285</v>
      </c>
      <c r="D39" s="16">
        <f t="shared" si="3"/>
        <v>150.3204536</v>
      </c>
      <c r="E39" s="16">
        <f t="shared" si="4"/>
        <v>150.3204536</v>
      </c>
    </row>
    <row r="40" ht="12.75" customHeight="1">
      <c r="A40" s="12">
        <v>0.75</v>
      </c>
      <c r="B40" s="13">
        <f t="shared" si="1"/>
        <v>22.4</v>
      </c>
      <c r="C40" s="14">
        <f t="shared" si="2"/>
        <v>2.2114</v>
      </c>
      <c r="D40" s="16">
        <f t="shared" si="3"/>
        <v>154.9099751</v>
      </c>
      <c r="E40" s="16">
        <f t="shared" si="4"/>
        <v>154.9099751</v>
      </c>
    </row>
    <row r="41" ht="12.75" customHeight="1">
      <c r="A41" s="12">
        <v>0.8</v>
      </c>
      <c r="B41" s="13">
        <f t="shared" si="1"/>
        <v>20.7</v>
      </c>
      <c r="C41" s="14">
        <f t="shared" si="2"/>
        <v>2.17995</v>
      </c>
      <c r="D41" s="16">
        <f t="shared" si="3"/>
        <v>159.3053043</v>
      </c>
      <c r="E41" s="16">
        <f t="shared" si="4"/>
        <v>159.3053043</v>
      </c>
    </row>
    <row r="42" ht="12.75" customHeight="1">
      <c r="A42" s="12">
        <v>0.85</v>
      </c>
      <c r="B42" s="13">
        <f t="shared" si="1"/>
        <v>19</v>
      </c>
      <c r="C42" s="14">
        <f t="shared" si="2"/>
        <v>2.1485</v>
      </c>
      <c r="D42" s="16">
        <f t="shared" si="3"/>
        <v>163.522101</v>
      </c>
      <c r="E42" s="16">
        <f t="shared" si="4"/>
        <v>163.522101</v>
      </c>
    </row>
    <row r="43" ht="12.75" customHeight="1">
      <c r="A43" s="12">
        <v>0.9</v>
      </c>
      <c r="B43" s="13">
        <f t="shared" si="1"/>
        <v>17.3</v>
      </c>
      <c r="C43" s="14">
        <f t="shared" si="2"/>
        <v>2.093833333</v>
      </c>
      <c r="D43" s="16">
        <f t="shared" si="3"/>
        <v>170.4658902</v>
      </c>
      <c r="E43" s="16">
        <f t="shared" si="4"/>
        <v>170</v>
      </c>
    </row>
    <row r="44" ht="12.75" customHeight="1">
      <c r="A44" s="12">
        <v>0.95</v>
      </c>
      <c r="B44" s="13">
        <f t="shared" si="1"/>
        <v>15.6</v>
      </c>
      <c r="C44" s="14">
        <f t="shared" si="2"/>
        <v>2.006</v>
      </c>
      <c r="D44" s="16">
        <f t="shared" si="3"/>
        <v>180.7197831</v>
      </c>
      <c r="E44" s="16">
        <f t="shared" si="4"/>
        <v>170</v>
      </c>
    </row>
    <row r="45" ht="12.75" customHeight="1">
      <c r="A45" s="12">
        <v>1.0</v>
      </c>
      <c r="B45" s="13">
        <f t="shared" si="1"/>
        <v>13.9</v>
      </c>
      <c r="C45" s="14">
        <f t="shared" si="2"/>
        <v>1.918166667</v>
      </c>
      <c r="D45" s="16">
        <f t="shared" si="3"/>
        <v>190.0167529</v>
      </c>
      <c r="E45" s="16">
        <f t="shared" si="4"/>
        <v>170</v>
      </c>
    </row>
    <row r="46" ht="12.75" customHeight="1">
      <c r="A46" s="12">
        <v>1.05</v>
      </c>
      <c r="B46" s="13">
        <f t="shared" si="1"/>
        <v>12.2</v>
      </c>
      <c r="C46" s="14">
        <f t="shared" si="2"/>
        <v>1.830333333</v>
      </c>
      <c r="D46" s="16">
        <f t="shared" si="3"/>
        <v>198.4913068</v>
      </c>
      <c r="E46" s="16">
        <f t="shared" si="4"/>
        <v>170</v>
      </c>
    </row>
    <row r="47" ht="12.75" customHeight="1">
      <c r="A47" s="12">
        <v>1.1</v>
      </c>
      <c r="B47" s="13">
        <f t="shared" si="1"/>
        <v>10.5</v>
      </c>
      <c r="C47" s="14">
        <f t="shared" si="2"/>
        <v>1.7425</v>
      </c>
      <c r="D47" s="16">
        <f t="shared" si="3"/>
        <v>206.2448484</v>
      </c>
      <c r="E47" s="16">
        <f t="shared" si="4"/>
        <v>170</v>
      </c>
    </row>
    <row r="48" ht="12.75" customHeight="1">
      <c r="A48" s="12">
        <v>1.15</v>
      </c>
      <c r="B48" s="13">
        <f t="shared" si="1"/>
        <v>8.8</v>
      </c>
      <c r="C48" s="14">
        <f t="shared" si="2"/>
        <v>1.654666667</v>
      </c>
      <c r="D48" s="16">
        <f t="shared" si="3"/>
        <v>213.3559988</v>
      </c>
      <c r="E48" s="16">
        <f t="shared" si="4"/>
        <v>170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18.38"/>
    <col customWidth="1" min="3" max="3" width="15.88"/>
    <col customWidth="1" min="4" max="5" width="11.63"/>
    <col customWidth="1" min="6" max="6" width="11.5"/>
    <col customWidth="1" min="7" max="26" width="8.63"/>
  </cols>
  <sheetData>
    <row r="1" ht="12.75" customHeight="1">
      <c r="A1" s="2" t="s">
        <v>143</v>
      </c>
      <c r="B1" s="8" t="str">
        <f>Chart!$B$6</f>
        <v>K24</v>
      </c>
    </row>
    <row r="2" ht="12.75" customHeight="1">
      <c r="A2" s="2" t="s">
        <v>144</v>
      </c>
      <c r="B2" s="9">
        <f>Chart!$D$6</f>
        <v>34</v>
      </c>
    </row>
    <row r="3" ht="12.75" customHeight="1">
      <c r="A3" s="2" t="s">
        <v>145</v>
      </c>
      <c r="B3" s="9">
        <f>Chart!$C$6</f>
        <v>3</v>
      </c>
    </row>
    <row r="4" ht="12.75" customHeight="1">
      <c r="A4" s="2" t="s">
        <v>146</v>
      </c>
      <c r="B4" s="10">
        <v>1.2</v>
      </c>
    </row>
    <row r="5" ht="12.75" customHeight="1">
      <c r="A5" s="2" t="s">
        <v>147</v>
      </c>
      <c r="B5" s="10">
        <v>26.4</v>
      </c>
    </row>
    <row r="6" ht="12.75" customHeight="1">
      <c r="A6" s="2" t="s">
        <v>148</v>
      </c>
      <c r="B6" s="6">
        <f>LOOKUP(LEFT(Chart!$B$6,1),'Needle Data'!$J2:$J3,'Needle Data'!$K2:$K3)</f>
        <v>73.5</v>
      </c>
    </row>
    <row r="7" ht="12.75" customHeight="1">
      <c r="A7" s="2" t="s">
        <v>149</v>
      </c>
      <c r="B7" s="11">
        <f>$B$6 - $B$5 - ($B$3-1)*$B$4 + $B$18 + ($B$2 - 34)/2</f>
        <v>46.7</v>
      </c>
    </row>
    <row r="8" ht="12.75" customHeight="1">
      <c r="A8" s="2" t="s">
        <v>22</v>
      </c>
      <c r="B8" s="6">
        <f>VLOOKUP($B$1,'Needle Data'!$A$2:$G$113,2,0)</f>
        <v>2.5</v>
      </c>
    </row>
    <row r="9" ht="12.75" customHeight="1">
      <c r="A9" s="2" t="s">
        <v>23</v>
      </c>
      <c r="B9" s="6">
        <f>VLOOKUP($B$1,'Needle Data'!$A$2:$G$113,3,0)</f>
        <v>1.2</v>
      </c>
    </row>
    <row r="10" ht="12.75" customHeight="1">
      <c r="A10" s="2" t="s">
        <v>24</v>
      </c>
      <c r="B10" s="6">
        <f>VLOOKUP($B$1,'Needle Data'!$A$2:$G$113,4,0)</f>
        <v>38</v>
      </c>
    </row>
    <row r="11" ht="12.75" customHeight="1">
      <c r="A11" s="2" t="s">
        <v>25</v>
      </c>
      <c r="B11" s="6">
        <f>VLOOKUP($B$1,'Needle Data'!$A$2:$G$113,5,0)</f>
        <v>2.13</v>
      </c>
    </row>
    <row r="12" ht="12.75" customHeight="1">
      <c r="A12" s="2" t="s">
        <v>26</v>
      </c>
      <c r="B12" s="6">
        <f>VLOOKUP($B$1,'Needle Data'!$A$2:$G$113,6,0)</f>
        <v>18</v>
      </c>
    </row>
    <row r="13" ht="12.75" customHeight="1">
      <c r="A13" s="2" t="s">
        <v>27</v>
      </c>
      <c r="B13" s="6" t="str">
        <f>VLOOKUP($B$1,'Needle Data'!$A$2:$G$113,7,0)</f>
        <v/>
      </c>
    </row>
    <row r="14" ht="12.75" customHeight="1">
      <c r="A14" s="2" t="s">
        <v>150</v>
      </c>
      <c r="B14" s="6">
        <f>IF($B$13,3,IF($B$12,2,1))</f>
        <v>2</v>
      </c>
    </row>
    <row r="15" ht="12.75" customHeight="1">
      <c r="A15" s="2" t="s">
        <v>6</v>
      </c>
      <c r="B15" s="6">
        <f>Chart!$E$6</f>
        <v>264</v>
      </c>
    </row>
    <row r="16" ht="12.75" customHeight="1">
      <c r="A16" s="2" t="s">
        <v>10</v>
      </c>
      <c r="B16" s="6">
        <f>Chart!$I$6</f>
        <v>165</v>
      </c>
    </row>
    <row r="17" ht="12.75" customHeight="1">
      <c r="A17" s="2" t="s">
        <v>9</v>
      </c>
      <c r="B17" s="6">
        <f>Chart!$H$6</f>
        <v>50</v>
      </c>
    </row>
    <row r="18" ht="12.75" customHeight="1">
      <c r="A18" s="2" t="s">
        <v>151</v>
      </c>
      <c r="B18" s="11">
        <f>LOOKUP(Chart!$F$6,'Needle Data'!$M2:$M4,'Needle Data'!$N2:$N4)</f>
        <v>2</v>
      </c>
    </row>
    <row r="19" ht="12.75" customHeight="1"/>
    <row r="20" ht="12.75" customHeight="1">
      <c r="A20" s="3" t="s">
        <v>152</v>
      </c>
      <c r="B20" s="3" t="s">
        <v>153</v>
      </c>
      <c r="C20" s="3" t="s">
        <v>25</v>
      </c>
    </row>
    <row r="21" ht="12.75" customHeight="1">
      <c r="A21" s="3">
        <v>1.0</v>
      </c>
      <c r="B21" s="4">
        <f>IF(B$14=1,(B$8-B$9)/B$10,(B$8-B$11)/(B$10-B$12))</f>
        <v>0.0185</v>
      </c>
      <c r="C21" s="4">
        <f>IF(B$14=1,B$9,B$11)</f>
        <v>2.13</v>
      </c>
    </row>
    <row r="22" ht="12.75" customHeight="1">
      <c r="A22" s="3">
        <v>2.0</v>
      </c>
      <c r="B22" s="4">
        <f>IF(B$14=1,0,(B$11-B$9)/(B$12-B$13))</f>
        <v>0.05166666667</v>
      </c>
      <c r="C22" s="4">
        <f>IF(B$14=1,0,B$9)</f>
        <v>1.2</v>
      </c>
    </row>
    <row r="23" ht="12.75" customHeight="1"/>
    <row r="24" ht="12.75" customHeight="1">
      <c r="A24" s="3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</row>
    <row r="25" ht="12.75" customHeight="1">
      <c r="A25" s="12">
        <v>0.0</v>
      </c>
      <c r="B25" s="13">
        <f t="shared" ref="B25:B48" si="1">$B$7-$A25*$B$2</f>
        <v>46.7</v>
      </c>
      <c r="C25" s="14">
        <f t="shared" ref="C25:C48" si="2">IF($B25&gt;B$10,B$8,IF($B25&lt;0,0,IF($B25&lt;B$13,B$9,IF($B25&lt;=B$12,B$22*($B25-B$13)+B$9,B$21*($B25-B$12)+C$21))))</f>
        <v>2.5</v>
      </c>
      <c r="D25" s="15">
        <f t="shared" ref="D25:D48" si="3">SQRT($B$15^2-($C25*100)^2)</f>
        <v>84.82924024</v>
      </c>
      <c r="E25" s="16">
        <f>$B$17*1+$D25*0</f>
        <v>50</v>
      </c>
    </row>
    <row r="26" ht="12.75" customHeight="1">
      <c r="A26" s="12">
        <v>0.05</v>
      </c>
      <c r="B26" s="13">
        <f t="shared" si="1"/>
        <v>45</v>
      </c>
      <c r="C26" s="14">
        <f t="shared" si="2"/>
        <v>2.5</v>
      </c>
      <c r="D26" s="16">
        <f t="shared" si="3"/>
        <v>84.82924024</v>
      </c>
      <c r="E26" s="16">
        <f>$B$17*0.8+$D26*0.2</f>
        <v>56.96584805</v>
      </c>
    </row>
    <row r="27" ht="12.75" customHeight="1">
      <c r="A27" s="12">
        <v>0.1</v>
      </c>
      <c r="B27" s="13">
        <f t="shared" si="1"/>
        <v>43.3</v>
      </c>
      <c r="C27" s="14">
        <f t="shared" si="2"/>
        <v>2.5</v>
      </c>
      <c r="D27" s="16">
        <f t="shared" si="3"/>
        <v>84.82924024</v>
      </c>
      <c r="E27" s="16">
        <f>$B$17*0.6+$D27*0.4</f>
        <v>63.9316961</v>
      </c>
    </row>
    <row r="28" ht="12.75" customHeight="1">
      <c r="A28" s="12">
        <v>0.15</v>
      </c>
      <c r="B28" s="13">
        <f t="shared" si="1"/>
        <v>41.6</v>
      </c>
      <c r="C28" s="14">
        <f t="shared" si="2"/>
        <v>2.5</v>
      </c>
      <c r="D28" s="16">
        <f t="shared" si="3"/>
        <v>84.82924024</v>
      </c>
      <c r="E28" s="16">
        <f>$B$17*0.4+$D28*0.6</f>
        <v>70.89754415</v>
      </c>
    </row>
    <row r="29" ht="12.75" customHeight="1">
      <c r="A29" s="12">
        <v>0.2</v>
      </c>
      <c r="B29" s="13">
        <f t="shared" si="1"/>
        <v>39.9</v>
      </c>
      <c r="C29" s="14">
        <f t="shared" si="2"/>
        <v>2.5</v>
      </c>
      <c r="D29" s="16">
        <f t="shared" si="3"/>
        <v>84.82924024</v>
      </c>
      <c r="E29" s="16">
        <f>$B$17*0.2+$D29*0.8</f>
        <v>77.86339219</v>
      </c>
    </row>
    <row r="30" ht="12.75" customHeight="1">
      <c r="A30" s="12">
        <v>0.25</v>
      </c>
      <c r="B30" s="13">
        <f t="shared" si="1"/>
        <v>38.2</v>
      </c>
      <c r="C30" s="14">
        <f t="shared" si="2"/>
        <v>2.5</v>
      </c>
      <c r="D30" s="16">
        <f t="shared" si="3"/>
        <v>84.82924024</v>
      </c>
      <c r="E30" s="16">
        <f>$B$17*0.1+$D30*0.9</f>
        <v>81.34631622</v>
      </c>
    </row>
    <row r="31" ht="12.75" customHeight="1">
      <c r="A31" s="12">
        <v>0.3</v>
      </c>
      <c r="B31" s="13">
        <f t="shared" si="1"/>
        <v>36.5</v>
      </c>
      <c r="C31" s="14">
        <f t="shared" si="2"/>
        <v>2.47225</v>
      </c>
      <c r="D31" s="16">
        <f t="shared" si="3"/>
        <v>92.60561201</v>
      </c>
      <c r="E31" s="16">
        <f>$B$17*0.05+$D31*0.95</f>
        <v>90.47533141</v>
      </c>
    </row>
    <row r="32" ht="12.75" customHeight="1">
      <c r="A32" s="12">
        <v>0.35</v>
      </c>
      <c r="B32" s="13">
        <f t="shared" si="1"/>
        <v>34.8</v>
      </c>
      <c r="C32" s="14">
        <f t="shared" si="2"/>
        <v>2.4408</v>
      </c>
      <c r="D32" s="16">
        <f t="shared" si="3"/>
        <v>100.6029503</v>
      </c>
      <c r="E32" s="16">
        <f t="shared" ref="E32:E48" si="4">IF($B$16&lt;$D32,$B$16,$D32)</f>
        <v>100.6029503</v>
      </c>
    </row>
    <row r="33" ht="12.75" customHeight="1">
      <c r="A33" s="12">
        <v>0.4</v>
      </c>
      <c r="B33" s="13">
        <f t="shared" si="1"/>
        <v>33.1</v>
      </c>
      <c r="C33" s="14">
        <f t="shared" si="2"/>
        <v>2.40935</v>
      </c>
      <c r="D33" s="16">
        <f t="shared" si="3"/>
        <v>107.9181439</v>
      </c>
      <c r="E33" s="16">
        <f t="shared" si="4"/>
        <v>107.9181439</v>
      </c>
    </row>
    <row r="34" ht="12.75" customHeight="1">
      <c r="A34" s="12">
        <v>0.45</v>
      </c>
      <c r="B34" s="13">
        <f t="shared" si="1"/>
        <v>31.4</v>
      </c>
      <c r="C34" s="14">
        <f t="shared" si="2"/>
        <v>2.3779</v>
      </c>
      <c r="D34" s="16">
        <f t="shared" si="3"/>
        <v>114.6818028</v>
      </c>
      <c r="E34" s="16">
        <f t="shared" si="4"/>
        <v>114.6818028</v>
      </c>
    </row>
    <row r="35" ht="12.75" customHeight="1">
      <c r="A35" s="12">
        <v>0.5</v>
      </c>
      <c r="B35" s="13">
        <f t="shared" si="1"/>
        <v>29.7</v>
      </c>
      <c r="C35" s="14">
        <f t="shared" si="2"/>
        <v>2.34645</v>
      </c>
      <c r="D35" s="16">
        <f t="shared" si="3"/>
        <v>120.9864619</v>
      </c>
      <c r="E35" s="16">
        <f t="shared" si="4"/>
        <v>120.9864619</v>
      </c>
    </row>
    <row r="36" ht="12.75" customHeight="1">
      <c r="A36" s="12">
        <v>0.55</v>
      </c>
      <c r="B36" s="13">
        <f t="shared" si="1"/>
        <v>28</v>
      </c>
      <c r="C36" s="14">
        <f t="shared" si="2"/>
        <v>2.315</v>
      </c>
      <c r="D36" s="16">
        <f t="shared" si="3"/>
        <v>126.9005516</v>
      </c>
      <c r="E36" s="16">
        <f t="shared" si="4"/>
        <v>126.9005516</v>
      </c>
    </row>
    <row r="37" ht="12.75" customHeight="1">
      <c r="A37" s="12">
        <v>0.6</v>
      </c>
      <c r="B37" s="13">
        <f t="shared" si="1"/>
        <v>26.3</v>
      </c>
      <c r="C37" s="14">
        <f t="shared" si="2"/>
        <v>2.28355</v>
      </c>
      <c r="D37" s="16">
        <f t="shared" si="3"/>
        <v>132.4763903</v>
      </c>
      <c r="E37" s="16">
        <f t="shared" si="4"/>
        <v>132.4763903</v>
      </c>
    </row>
    <row r="38" ht="12.75" customHeight="1">
      <c r="A38" s="12">
        <v>0.65</v>
      </c>
      <c r="B38" s="13">
        <f t="shared" si="1"/>
        <v>24.6</v>
      </c>
      <c r="C38" s="14">
        <f t="shared" si="2"/>
        <v>2.2521</v>
      </c>
      <c r="D38" s="16">
        <f t="shared" si="3"/>
        <v>137.7550576</v>
      </c>
      <c r="E38" s="16">
        <f t="shared" si="4"/>
        <v>137.7550576</v>
      </c>
    </row>
    <row r="39" ht="12.75" customHeight="1">
      <c r="A39" s="12">
        <v>0.7</v>
      </c>
      <c r="B39" s="13">
        <f t="shared" si="1"/>
        <v>22.9</v>
      </c>
      <c r="C39" s="14">
        <f t="shared" si="2"/>
        <v>2.22065</v>
      </c>
      <c r="D39" s="16">
        <f t="shared" si="3"/>
        <v>142.7695198</v>
      </c>
      <c r="E39" s="16">
        <f t="shared" si="4"/>
        <v>142.7695198</v>
      </c>
    </row>
    <row r="40" ht="12.75" customHeight="1">
      <c r="A40" s="12">
        <v>0.75</v>
      </c>
      <c r="B40" s="13">
        <f t="shared" si="1"/>
        <v>21.2</v>
      </c>
      <c r="C40" s="14">
        <f t="shared" si="2"/>
        <v>2.1892</v>
      </c>
      <c r="D40" s="16">
        <f t="shared" si="3"/>
        <v>147.5467167</v>
      </c>
      <c r="E40" s="16">
        <f t="shared" si="4"/>
        <v>147.5467167</v>
      </c>
    </row>
    <row r="41" ht="12.75" customHeight="1">
      <c r="A41" s="12">
        <v>0.8</v>
      </c>
      <c r="B41" s="13">
        <f t="shared" si="1"/>
        <v>19.5</v>
      </c>
      <c r="C41" s="14">
        <f t="shared" si="2"/>
        <v>2.15775</v>
      </c>
      <c r="D41" s="16">
        <f t="shared" si="3"/>
        <v>152.1090049</v>
      </c>
      <c r="E41" s="16">
        <f t="shared" si="4"/>
        <v>152.1090049</v>
      </c>
    </row>
    <row r="42" ht="12.75" customHeight="1">
      <c r="A42" s="12">
        <v>0.85</v>
      </c>
      <c r="B42" s="13">
        <f t="shared" si="1"/>
        <v>17.8</v>
      </c>
      <c r="C42" s="14">
        <f t="shared" si="2"/>
        <v>2.119666667</v>
      </c>
      <c r="D42" s="16">
        <f t="shared" si="3"/>
        <v>157.3725904</v>
      </c>
      <c r="E42" s="16">
        <f t="shared" si="4"/>
        <v>157.3725904</v>
      </c>
    </row>
    <row r="43" ht="12.75" customHeight="1">
      <c r="A43" s="12">
        <v>0.9</v>
      </c>
      <c r="B43" s="13">
        <f t="shared" si="1"/>
        <v>16.1</v>
      </c>
      <c r="C43" s="14">
        <f t="shared" si="2"/>
        <v>2.031833333</v>
      </c>
      <c r="D43" s="16">
        <f t="shared" si="3"/>
        <v>168.5601764</v>
      </c>
      <c r="E43" s="16">
        <f t="shared" si="4"/>
        <v>165</v>
      </c>
    </row>
    <row r="44" ht="12.75" customHeight="1">
      <c r="A44" s="12">
        <v>0.95</v>
      </c>
      <c r="B44" s="13">
        <f t="shared" si="1"/>
        <v>14.4</v>
      </c>
      <c r="C44" s="14">
        <f t="shared" si="2"/>
        <v>1.944</v>
      </c>
      <c r="D44" s="16">
        <f t="shared" si="3"/>
        <v>178.6187</v>
      </c>
      <c r="E44" s="16">
        <f t="shared" si="4"/>
        <v>165</v>
      </c>
    </row>
    <row r="45" ht="12.75" customHeight="1">
      <c r="A45" s="12">
        <v>1.0</v>
      </c>
      <c r="B45" s="13">
        <f t="shared" si="1"/>
        <v>12.7</v>
      </c>
      <c r="C45" s="14">
        <f t="shared" si="2"/>
        <v>1.856166667</v>
      </c>
      <c r="D45" s="16">
        <f t="shared" si="3"/>
        <v>187.7297341</v>
      </c>
      <c r="E45" s="16">
        <f t="shared" si="4"/>
        <v>165</v>
      </c>
    </row>
    <row r="46" ht="12.75" customHeight="1">
      <c r="A46" s="12">
        <v>1.05</v>
      </c>
      <c r="B46" s="13">
        <f t="shared" si="1"/>
        <v>11</v>
      </c>
      <c r="C46" s="14">
        <f t="shared" si="2"/>
        <v>1.768333333</v>
      </c>
      <c r="D46" s="16">
        <f t="shared" si="3"/>
        <v>196.0254377</v>
      </c>
      <c r="E46" s="16">
        <f t="shared" si="4"/>
        <v>165</v>
      </c>
    </row>
    <row r="47" ht="12.75" customHeight="1">
      <c r="A47" s="12">
        <v>1.1</v>
      </c>
      <c r="B47" s="13">
        <f t="shared" si="1"/>
        <v>9.3</v>
      </c>
      <c r="C47" s="14">
        <f t="shared" si="2"/>
        <v>1.6805</v>
      </c>
      <c r="D47" s="16">
        <f t="shared" si="3"/>
        <v>203.6054948</v>
      </c>
      <c r="E47" s="16">
        <f t="shared" si="4"/>
        <v>165</v>
      </c>
    </row>
    <row r="48" ht="12.75" customHeight="1">
      <c r="A48" s="12">
        <v>1.15</v>
      </c>
      <c r="B48" s="13">
        <f t="shared" si="1"/>
        <v>7.6</v>
      </c>
      <c r="C48" s="14">
        <f t="shared" si="2"/>
        <v>1.592666667</v>
      </c>
      <c r="D48" s="16">
        <f t="shared" si="3"/>
        <v>210.547213</v>
      </c>
      <c r="E48" s="16">
        <f t="shared" si="4"/>
        <v>165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18.38"/>
    <col customWidth="1" min="3" max="3" width="15.88"/>
    <col customWidth="1" min="4" max="5" width="11.63"/>
    <col customWidth="1" min="6" max="6" width="11.5"/>
    <col customWidth="1" min="7" max="26" width="8.63"/>
  </cols>
  <sheetData>
    <row r="1" ht="12.75" customHeight="1">
      <c r="A1" s="2" t="s">
        <v>143</v>
      </c>
      <c r="B1" s="8" t="str">
        <f>Chart!$B$7</f>
        <v>K24</v>
      </c>
    </row>
    <row r="2" ht="12.75" customHeight="1">
      <c r="A2" s="2" t="s">
        <v>144</v>
      </c>
      <c r="B2" s="9">
        <f>Chart!$D$7</f>
        <v>34</v>
      </c>
    </row>
    <row r="3" ht="12.75" customHeight="1">
      <c r="A3" s="2" t="s">
        <v>145</v>
      </c>
      <c r="B3" s="9">
        <f>Chart!$C$7</f>
        <v>3</v>
      </c>
    </row>
    <row r="4" ht="12.75" customHeight="1">
      <c r="A4" s="2" t="s">
        <v>146</v>
      </c>
      <c r="B4" s="10">
        <v>1.2</v>
      </c>
    </row>
    <row r="5" ht="12.75" customHeight="1">
      <c r="A5" s="2" t="s">
        <v>147</v>
      </c>
      <c r="B5" s="10">
        <v>26.4</v>
      </c>
    </row>
    <row r="6" ht="12.75" customHeight="1">
      <c r="A6" s="2" t="s">
        <v>148</v>
      </c>
      <c r="B6" s="6">
        <f>LOOKUP(LEFT(Chart!$B$7,1),'Needle Data'!$J2:$J3,'Needle Data'!$K2:$K3)</f>
        <v>73.5</v>
      </c>
    </row>
    <row r="7" ht="12.75" customHeight="1">
      <c r="A7" s="2" t="s">
        <v>149</v>
      </c>
      <c r="B7" s="11">
        <f>$B$6 - $B$5 - ($B$3-1)*$B$4 + $B$18 + ($B$2 - 34)/2</f>
        <v>44.7</v>
      </c>
    </row>
    <row r="8" ht="12.75" customHeight="1">
      <c r="A8" s="2" t="s">
        <v>22</v>
      </c>
      <c r="B8" s="6">
        <f>VLOOKUP($B$1,'Needle Data'!$A$2:$G$113,2,0)</f>
        <v>2.5</v>
      </c>
    </row>
    <row r="9" ht="12.75" customHeight="1">
      <c r="A9" s="2" t="s">
        <v>23</v>
      </c>
      <c r="B9" s="6">
        <f>VLOOKUP($B$1,'Needle Data'!$A$2:$G$113,3,0)</f>
        <v>1.2</v>
      </c>
    </row>
    <row r="10" ht="12.75" customHeight="1">
      <c r="A10" s="2" t="s">
        <v>24</v>
      </c>
      <c r="B10" s="6">
        <f>VLOOKUP($B$1,'Needle Data'!$A$2:$G$113,4,0)</f>
        <v>38</v>
      </c>
    </row>
    <row r="11" ht="12.75" customHeight="1">
      <c r="A11" s="2" t="s">
        <v>25</v>
      </c>
      <c r="B11" s="6">
        <f>VLOOKUP($B$1,'Needle Data'!$A$2:$G$113,5,0)</f>
        <v>2.13</v>
      </c>
    </row>
    <row r="12" ht="12.75" customHeight="1">
      <c r="A12" s="2" t="s">
        <v>26</v>
      </c>
      <c r="B12" s="6">
        <f>VLOOKUP($B$1,'Needle Data'!$A$2:$G$113,6,0)</f>
        <v>18</v>
      </c>
    </row>
    <row r="13" ht="12.75" customHeight="1">
      <c r="A13" s="2" t="s">
        <v>27</v>
      </c>
      <c r="B13" s="6" t="str">
        <f>VLOOKUP($B$1,'Needle Data'!$A$2:$G$113,7,0)</f>
        <v/>
      </c>
    </row>
    <row r="14" ht="12.75" customHeight="1">
      <c r="A14" s="2" t="s">
        <v>150</v>
      </c>
      <c r="B14" s="6">
        <f>IF($B$13,3,IF($B$12,2,1))</f>
        <v>2</v>
      </c>
    </row>
    <row r="15" ht="12.75" customHeight="1">
      <c r="A15" s="2" t="s">
        <v>6</v>
      </c>
      <c r="B15" s="6">
        <f>Chart!$E$7</f>
        <v>264</v>
      </c>
    </row>
    <row r="16" ht="12.75" customHeight="1">
      <c r="A16" s="2" t="s">
        <v>10</v>
      </c>
      <c r="B16" s="6">
        <f>Chart!$I$7</f>
        <v>165</v>
      </c>
    </row>
    <row r="17" ht="12.75" customHeight="1">
      <c r="A17" s="2" t="s">
        <v>9</v>
      </c>
      <c r="B17" s="6">
        <f>Chart!$H$7</f>
        <v>50</v>
      </c>
    </row>
    <row r="18" ht="12.75" customHeight="1">
      <c r="A18" s="2" t="s">
        <v>151</v>
      </c>
      <c r="B18" s="11">
        <f>LOOKUP(Chart!$F$7,'Needle Data'!$M2:$M4,'Needle Data'!$N2:$N4)</f>
        <v>0</v>
      </c>
    </row>
    <row r="19" ht="12.75" customHeight="1"/>
    <row r="20" ht="12.75" customHeight="1">
      <c r="A20" s="3" t="s">
        <v>152</v>
      </c>
      <c r="B20" s="3" t="s">
        <v>153</v>
      </c>
      <c r="C20" s="3" t="s">
        <v>25</v>
      </c>
    </row>
    <row r="21" ht="12.75" customHeight="1">
      <c r="A21" s="3">
        <v>1.0</v>
      </c>
      <c r="B21" s="4">
        <f>IF(B$14=1,(B$8-B$9)/B$10,(B$8-B$11)/(B$10-B$12))</f>
        <v>0.0185</v>
      </c>
      <c r="C21" s="4">
        <f>IF(B$14=1,B$9,B$11)</f>
        <v>2.13</v>
      </c>
    </row>
    <row r="22" ht="12.75" customHeight="1">
      <c r="A22" s="3">
        <v>2.0</v>
      </c>
      <c r="B22" s="4">
        <f>IF(B$14=1,0,(B$11-B$9)/(B$12-B$13))</f>
        <v>0.05166666667</v>
      </c>
      <c r="C22" s="4">
        <f>IF(B$14=1,0,B$9)</f>
        <v>1.2</v>
      </c>
    </row>
    <row r="23" ht="12.75" customHeight="1"/>
    <row r="24" ht="12.75" customHeight="1">
      <c r="A24" s="3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</row>
    <row r="25" ht="12.75" customHeight="1">
      <c r="A25" s="12">
        <v>0.0</v>
      </c>
      <c r="B25" s="13">
        <f t="shared" ref="B25:B48" si="1">$B$7-$A25*$B$2</f>
        <v>44.7</v>
      </c>
      <c r="C25" s="14">
        <f t="shared" ref="C25:C48" si="2">IF($B25&gt;B$10,B$8,IF($B25&lt;0,0,IF($B25&lt;B$13,B$9,IF($B25&lt;=B$12,B$22*($B25-B$13)+B$9,B$21*($B25-B$12)+C$21))))</f>
        <v>2.5</v>
      </c>
      <c r="D25" s="15">
        <f t="shared" ref="D25:D48" si="3">SQRT($B$15^2-($C25*100)^2)</f>
        <v>84.82924024</v>
      </c>
      <c r="E25" s="16">
        <f>$B$17*1+$D25*0</f>
        <v>50</v>
      </c>
    </row>
    <row r="26" ht="12.75" customHeight="1">
      <c r="A26" s="12">
        <v>0.05</v>
      </c>
      <c r="B26" s="13">
        <f t="shared" si="1"/>
        <v>43</v>
      </c>
      <c r="C26" s="14">
        <f t="shared" si="2"/>
        <v>2.5</v>
      </c>
      <c r="D26" s="16">
        <f t="shared" si="3"/>
        <v>84.82924024</v>
      </c>
      <c r="E26" s="16">
        <f>$B$17*0.8+$D26*0.2</f>
        <v>56.96584805</v>
      </c>
    </row>
    <row r="27" ht="12.75" customHeight="1">
      <c r="A27" s="12">
        <v>0.1</v>
      </c>
      <c r="B27" s="13">
        <f t="shared" si="1"/>
        <v>41.3</v>
      </c>
      <c r="C27" s="14">
        <f t="shared" si="2"/>
        <v>2.5</v>
      </c>
      <c r="D27" s="16">
        <f t="shared" si="3"/>
        <v>84.82924024</v>
      </c>
      <c r="E27" s="16">
        <f>$B$17*0.6+$D27*0.4</f>
        <v>63.9316961</v>
      </c>
    </row>
    <row r="28" ht="12.75" customHeight="1">
      <c r="A28" s="12">
        <v>0.15</v>
      </c>
      <c r="B28" s="13">
        <f t="shared" si="1"/>
        <v>39.6</v>
      </c>
      <c r="C28" s="14">
        <f t="shared" si="2"/>
        <v>2.5</v>
      </c>
      <c r="D28" s="16">
        <f t="shared" si="3"/>
        <v>84.82924024</v>
      </c>
      <c r="E28" s="16">
        <f>$B$17*0.4+$D28*0.6</f>
        <v>70.89754415</v>
      </c>
    </row>
    <row r="29" ht="12.75" customHeight="1">
      <c r="A29" s="12">
        <v>0.2</v>
      </c>
      <c r="B29" s="13">
        <f t="shared" si="1"/>
        <v>37.9</v>
      </c>
      <c r="C29" s="14">
        <f t="shared" si="2"/>
        <v>2.49815</v>
      </c>
      <c r="D29" s="16">
        <f t="shared" si="3"/>
        <v>85.37251182</v>
      </c>
      <c r="E29" s="16">
        <f>$B$17*0.2+$D29*0.8</f>
        <v>78.29800946</v>
      </c>
    </row>
    <row r="30" ht="12.75" customHeight="1">
      <c r="A30" s="12">
        <v>0.25</v>
      </c>
      <c r="B30" s="13">
        <f t="shared" si="1"/>
        <v>36.2</v>
      </c>
      <c r="C30" s="14">
        <f t="shared" si="2"/>
        <v>2.4667</v>
      </c>
      <c r="D30" s="16">
        <f t="shared" si="3"/>
        <v>94.07396611</v>
      </c>
      <c r="E30" s="16">
        <f>$B$17*0.1+$D30*0.9</f>
        <v>89.6665695</v>
      </c>
    </row>
    <row r="31" ht="12.75" customHeight="1">
      <c r="A31" s="12">
        <v>0.3</v>
      </c>
      <c r="B31" s="13">
        <f t="shared" si="1"/>
        <v>34.5</v>
      </c>
      <c r="C31" s="14">
        <f t="shared" si="2"/>
        <v>2.43525</v>
      </c>
      <c r="D31" s="16">
        <f t="shared" si="3"/>
        <v>101.9390719</v>
      </c>
      <c r="E31" s="16">
        <f>$B$17*0.05+$D31*0.95</f>
        <v>99.34211828</v>
      </c>
    </row>
    <row r="32" ht="12.75" customHeight="1">
      <c r="A32" s="12">
        <v>0.35</v>
      </c>
      <c r="B32" s="13">
        <f t="shared" si="1"/>
        <v>32.8</v>
      </c>
      <c r="C32" s="14">
        <f t="shared" si="2"/>
        <v>2.4038</v>
      </c>
      <c r="D32" s="16">
        <f t="shared" si="3"/>
        <v>109.1487774</v>
      </c>
      <c r="E32" s="16">
        <f t="shared" ref="E32:E48" si="4">IF($B$16&lt;$D32,$B$16,$D32)</f>
        <v>109.1487774</v>
      </c>
    </row>
    <row r="33" ht="12.75" customHeight="1">
      <c r="A33" s="12">
        <v>0.4</v>
      </c>
      <c r="B33" s="13">
        <f t="shared" si="1"/>
        <v>31.1</v>
      </c>
      <c r="C33" s="14">
        <f t="shared" si="2"/>
        <v>2.37235</v>
      </c>
      <c r="D33" s="16">
        <f t="shared" si="3"/>
        <v>115.8255359</v>
      </c>
      <c r="E33" s="16">
        <f t="shared" si="4"/>
        <v>115.8255359</v>
      </c>
    </row>
    <row r="34" ht="12.75" customHeight="1">
      <c r="A34" s="12">
        <v>0.45</v>
      </c>
      <c r="B34" s="13">
        <f t="shared" si="1"/>
        <v>29.4</v>
      </c>
      <c r="C34" s="14">
        <f t="shared" si="2"/>
        <v>2.3409</v>
      </c>
      <c r="D34" s="16">
        <f t="shared" si="3"/>
        <v>122.0568388</v>
      </c>
      <c r="E34" s="16">
        <f t="shared" si="4"/>
        <v>122.0568388</v>
      </c>
    </row>
    <row r="35" ht="12.75" customHeight="1">
      <c r="A35" s="12">
        <v>0.5</v>
      </c>
      <c r="B35" s="13">
        <f t="shared" si="1"/>
        <v>27.7</v>
      </c>
      <c r="C35" s="14">
        <f t="shared" si="2"/>
        <v>2.30945</v>
      </c>
      <c r="D35" s="16">
        <f t="shared" si="3"/>
        <v>127.9078065</v>
      </c>
      <c r="E35" s="16">
        <f t="shared" si="4"/>
        <v>127.9078065</v>
      </c>
    </row>
    <row r="36" ht="12.75" customHeight="1">
      <c r="A36" s="12">
        <v>0.55</v>
      </c>
      <c r="B36" s="13">
        <f t="shared" si="1"/>
        <v>26</v>
      </c>
      <c r="C36" s="14">
        <f t="shared" si="2"/>
        <v>2.278</v>
      </c>
      <c r="D36" s="16">
        <f t="shared" si="3"/>
        <v>133.4284827</v>
      </c>
      <c r="E36" s="16">
        <f t="shared" si="4"/>
        <v>133.4284827</v>
      </c>
    </row>
    <row r="37" ht="12.75" customHeight="1">
      <c r="A37" s="12">
        <v>0.6</v>
      </c>
      <c r="B37" s="13">
        <f t="shared" si="1"/>
        <v>24.3</v>
      </c>
      <c r="C37" s="14">
        <f t="shared" si="2"/>
        <v>2.24655</v>
      </c>
      <c r="D37" s="16">
        <f t="shared" si="3"/>
        <v>138.6583246</v>
      </c>
      <c r="E37" s="16">
        <f t="shared" si="4"/>
        <v>138.6583246</v>
      </c>
    </row>
    <row r="38" ht="12.75" customHeight="1">
      <c r="A38" s="12">
        <v>0.65</v>
      </c>
      <c r="B38" s="13">
        <f t="shared" si="1"/>
        <v>22.6</v>
      </c>
      <c r="C38" s="14">
        <f t="shared" si="2"/>
        <v>2.2151</v>
      </c>
      <c r="D38" s="16">
        <f t="shared" si="3"/>
        <v>143.6291053</v>
      </c>
      <c r="E38" s="16">
        <f t="shared" si="4"/>
        <v>143.6291053</v>
      </c>
    </row>
    <row r="39" ht="12.75" customHeight="1">
      <c r="A39" s="12">
        <v>0.7</v>
      </c>
      <c r="B39" s="13">
        <f t="shared" si="1"/>
        <v>20.9</v>
      </c>
      <c r="C39" s="14">
        <f t="shared" si="2"/>
        <v>2.18365</v>
      </c>
      <c r="D39" s="16">
        <f t="shared" si="3"/>
        <v>148.3668655</v>
      </c>
      <c r="E39" s="16">
        <f t="shared" si="4"/>
        <v>148.3668655</v>
      </c>
    </row>
    <row r="40" ht="12.75" customHeight="1">
      <c r="A40" s="12">
        <v>0.75</v>
      </c>
      <c r="B40" s="13">
        <f t="shared" si="1"/>
        <v>19.2</v>
      </c>
      <c r="C40" s="14">
        <f t="shared" si="2"/>
        <v>2.1522</v>
      </c>
      <c r="D40" s="16">
        <f t="shared" si="3"/>
        <v>152.8932687</v>
      </c>
      <c r="E40" s="16">
        <f t="shared" si="4"/>
        <v>152.8932687</v>
      </c>
    </row>
    <row r="41" ht="12.75" customHeight="1">
      <c r="A41" s="12">
        <v>0.8</v>
      </c>
      <c r="B41" s="13">
        <f t="shared" si="1"/>
        <v>17.5</v>
      </c>
      <c r="C41" s="14">
        <f t="shared" si="2"/>
        <v>2.104166667</v>
      </c>
      <c r="D41" s="16">
        <f t="shared" si="3"/>
        <v>159.4390993</v>
      </c>
      <c r="E41" s="16">
        <f t="shared" si="4"/>
        <v>159.4390993</v>
      </c>
    </row>
    <row r="42" ht="12.75" customHeight="1">
      <c r="A42" s="12">
        <v>0.85</v>
      </c>
      <c r="B42" s="13">
        <f t="shared" si="1"/>
        <v>15.8</v>
      </c>
      <c r="C42" s="14">
        <f t="shared" si="2"/>
        <v>2.016333333</v>
      </c>
      <c r="D42" s="16">
        <f t="shared" si="3"/>
        <v>170.411264</v>
      </c>
      <c r="E42" s="16">
        <f t="shared" si="4"/>
        <v>165</v>
      </c>
    </row>
    <row r="43" ht="12.75" customHeight="1">
      <c r="A43" s="12">
        <v>0.9</v>
      </c>
      <c r="B43" s="13">
        <f t="shared" si="1"/>
        <v>14.1</v>
      </c>
      <c r="C43" s="14">
        <f t="shared" si="2"/>
        <v>1.9285</v>
      </c>
      <c r="D43" s="16">
        <f t="shared" si="3"/>
        <v>180.291091</v>
      </c>
      <c r="E43" s="16">
        <f t="shared" si="4"/>
        <v>165</v>
      </c>
    </row>
    <row r="44" ht="12.75" customHeight="1">
      <c r="A44" s="12">
        <v>0.95</v>
      </c>
      <c r="B44" s="13">
        <f t="shared" si="1"/>
        <v>12.4</v>
      </c>
      <c r="C44" s="14">
        <f t="shared" si="2"/>
        <v>1.840666667</v>
      </c>
      <c r="D44" s="16">
        <f t="shared" si="3"/>
        <v>189.2497351</v>
      </c>
      <c r="E44" s="16">
        <f t="shared" si="4"/>
        <v>165</v>
      </c>
    </row>
    <row r="45" ht="12.75" customHeight="1">
      <c r="A45" s="12">
        <v>1.0</v>
      </c>
      <c r="B45" s="13">
        <f t="shared" si="1"/>
        <v>10.7</v>
      </c>
      <c r="C45" s="14">
        <f t="shared" si="2"/>
        <v>1.752833333</v>
      </c>
      <c r="D45" s="16">
        <f t="shared" si="3"/>
        <v>197.4126466</v>
      </c>
      <c r="E45" s="16">
        <f t="shared" si="4"/>
        <v>165</v>
      </c>
    </row>
    <row r="46" ht="12.75" customHeight="1">
      <c r="A46" s="12">
        <v>1.05</v>
      </c>
      <c r="B46" s="13">
        <f t="shared" si="1"/>
        <v>9</v>
      </c>
      <c r="C46" s="14">
        <f t="shared" si="2"/>
        <v>1.665</v>
      </c>
      <c r="D46" s="16">
        <f t="shared" si="3"/>
        <v>204.8749619</v>
      </c>
      <c r="E46" s="16">
        <f t="shared" si="4"/>
        <v>165</v>
      </c>
    </row>
    <row r="47" ht="12.75" customHeight="1">
      <c r="A47" s="12">
        <v>1.1</v>
      </c>
      <c r="B47" s="13">
        <f t="shared" si="1"/>
        <v>7.3</v>
      </c>
      <c r="C47" s="14">
        <f t="shared" si="2"/>
        <v>1.577166667</v>
      </c>
      <c r="D47" s="16">
        <f t="shared" si="3"/>
        <v>211.7107769</v>
      </c>
      <c r="E47" s="16">
        <f t="shared" si="4"/>
        <v>165</v>
      </c>
    </row>
    <row r="48" ht="12.75" customHeight="1">
      <c r="A48" s="12">
        <v>1.15</v>
      </c>
      <c r="B48" s="13">
        <f t="shared" si="1"/>
        <v>5.6</v>
      </c>
      <c r="C48" s="14">
        <f t="shared" si="2"/>
        <v>1.489333333</v>
      </c>
      <c r="D48" s="16">
        <f t="shared" si="3"/>
        <v>217.9790408</v>
      </c>
      <c r="E48" s="16">
        <f t="shared" si="4"/>
        <v>165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18.38"/>
    <col customWidth="1" min="3" max="3" width="15.88"/>
    <col customWidth="1" min="4" max="5" width="11.63"/>
    <col customWidth="1" min="6" max="6" width="11.5"/>
    <col customWidth="1" min="7" max="26" width="8.63"/>
  </cols>
  <sheetData>
    <row r="1" ht="12.75" customHeight="1">
      <c r="A1" s="2" t="s">
        <v>143</v>
      </c>
      <c r="B1" s="8" t="str">
        <f>Chart!$B$8</f>
        <v>K27</v>
      </c>
    </row>
    <row r="2" ht="12.75" customHeight="1">
      <c r="A2" s="2" t="s">
        <v>144</v>
      </c>
      <c r="B2" s="9">
        <f>Chart!$D$8</f>
        <v>34</v>
      </c>
    </row>
    <row r="3" ht="12.75" customHeight="1">
      <c r="A3" s="2" t="s">
        <v>145</v>
      </c>
      <c r="B3" s="9">
        <f>Chart!$C$8</f>
        <v>2</v>
      </c>
    </row>
    <row r="4" ht="12.75" customHeight="1">
      <c r="A4" s="2" t="s">
        <v>146</v>
      </c>
      <c r="B4" s="10">
        <v>1.2</v>
      </c>
    </row>
    <row r="5" ht="12.75" customHeight="1">
      <c r="A5" s="2" t="s">
        <v>147</v>
      </c>
      <c r="B5" s="10">
        <v>26.4</v>
      </c>
    </row>
    <row r="6" ht="12.75" customHeight="1">
      <c r="A6" s="2" t="s">
        <v>148</v>
      </c>
      <c r="B6" s="6">
        <f>LOOKUP(LEFT(Chart!$B$8,1),'Needle Data'!$J2:$J3,'Needle Data'!$K2:$K3)</f>
        <v>73.5</v>
      </c>
    </row>
    <row r="7" ht="12.75" customHeight="1">
      <c r="A7" s="2" t="s">
        <v>149</v>
      </c>
      <c r="B7" s="11">
        <f>$B$6 - $B$5 - ($B$3-1)*$B$4 + $B$18 + ($B$2 - 34)/2</f>
        <v>45.9</v>
      </c>
    </row>
    <row r="8" ht="12.75" customHeight="1">
      <c r="A8" s="2" t="s">
        <v>22</v>
      </c>
      <c r="B8" s="6">
        <f>VLOOKUP($B$1,'Needle Data'!$A$2:$G$113,2,0)</f>
        <v>2.5</v>
      </c>
    </row>
    <row r="9" ht="12.75" customHeight="1">
      <c r="A9" s="2" t="s">
        <v>23</v>
      </c>
      <c r="B9" s="6">
        <f>VLOOKUP($B$1,'Needle Data'!$A$2:$G$113,3,0)</f>
        <v>1.8</v>
      </c>
    </row>
    <row r="10" ht="12.75" customHeight="1">
      <c r="A10" s="2" t="s">
        <v>24</v>
      </c>
      <c r="B10" s="6">
        <f>VLOOKUP($B$1,'Needle Data'!$A$2:$G$113,4,0)</f>
        <v>44</v>
      </c>
    </row>
    <row r="11" ht="12.75" customHeight="1">
      <c r="A11" s="2" t="s">
        <v>25</v>
      </c>
      <c r="B11" s="6" t="str">
        <f>VLOOKUP($B$1,'Needle Data'!$A$2:$G$113,5,0)</f>
        <v/>
      </c>
    </row>
    <row r="12" ht="12.75" customHeight="1">
      <c r="A12" s="2" t="s">
        <v>26</v>
      </c>
      <c r="B12" s="6" t="str">
        <f>VLOOKUP($B$1,'Needle Data'!$A$2:$G$113,6,0)</f>
        <v/>
      </c>
    </row>
    <row r="13" ht="12.75" customHeight="1">
      <c r="A13" s="2" t="s">
        <v>27</v>
      </c>
      <c r="B13" s="6" t="str">
        <f>VLOOKUP($B$1,'Needle Data'!$A$2:$G$113,7,0)</f>
        <v/>
      </c>
    </row>
    <row r="14" ht="12.75" customHeight="1">
      <c r="A14" s="2" t="s">
        <v>150</v>
      </c>
      <c r="B14" s="6">
        <f>IF($B$13,3,IF($B$12,2,1))</f>
        <v>1</v>
      </c>
    </row>
    <row r="15" ht="12.75" customHeight="1">
      <c r="A15" s="2" t="s">
        <v>6</v>
      </c>
      <c r="B15" s="6">
        <f>Chart!$E$8</f>
        <v>264</v>
      </c>
    </row>
    <row r="16" ht="12.75" customHeight="1">
      <c r="A16" s="2" t="s">
        <v>10</v>
      </c>
      <c r="B16" s="6">
        <f>Chart!$I$8</f>
        <v>170</v>
      </c>
    </row>
    <row r="17" ht="12.75" customHeight="1">
      <c r="A17" s="2" t="s">
        <v>9</v>
      </c>
      <c r="B17" s="6">
        <f>Chart!$H$8</f>
        <v>50</v>
      </c>
    </row>
    <row r="18" ht="12.75" customHeight="1">
      <c r="A18" s="2" t="s">
        <v>151</v>
      </c>
      <c r="B18" s="11">
        <f>LOOKUP(Chart!$F$8,'Needle Data'!$M2:$M4,'Needle Data'!$N2:$N4)</f>
        <v>0</v>
      </c>
    </row>
    <row r="19" ht="12.75" customHeight="1"/>
    <row r="20" ht="12.75" customHeight="1">
      <c r="A20" s="3" t="s">
        <v>152</v>
      </c>
      <c r="B20" s="3" t="s">
        <v>153</v>
      </c>
      <c r="C20" s="3" t="s">
        <v>25</v>
      </c>
    </row>
    <row r="21" ht="12.75" customHeight="1">
      <c r="A21" s="3">
        <v>1.0</v>
      </c>
      <c r="B21" s="4">
        <f>IF(B$14=1,(B$8-B$9)/B$10,(B$8-B$11)/(B$10-B$12))</f>
        <v>0.01590909091</v>
      </c>
      <c r="C21" s="4">
        <f>IF(B$14=1,B$9,B$11)</f>
        <v>1.8</v>
      </c>
    </row>
    <row r="22" ht="12.75" customHeight="1">
      <c r="A22" s="3">
        <v>2.0</v>
      </c>
      <c r="B22" s="4">
        <f>IF(B$14=1,0,(B$11-B$9)/(B$12-B$13))</f>
        <v>0</v>
      </c>
      <c r="C22" s="4">
        <f>IF(B$14=1,0,B$9)</f>
        <v>0</v>
      </c>
    </row>
    <row r="23" ht="12.75" customHeight="1"/>
    <row r="24" ht="12.75" customHeight="1">
      <c r="A24" s="3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</row>
    <row r="25" ht="12.75" customHeight="1">
      <c r="A25" s="12">
        <v>0.0</v>
      </c>
      <c r="B25" s="13">
        <f t="shared" ref="B25:B48" si="1">$B$7-$A25*$B$2</f>
        <v>45.9</v>
      </c>
      <c r="C25" s="14">
        <f t="shared" ref="C25:C48" si="2">IF($B25&gt;B$10,B$8,IF($B25&lt;0,0,IF($B25&lt;B$13,B$9,IF($B25&lt;=B$12,B$22*($B25-B$13)+B$9,B$21*($B25-B$12)+C$21))))</f>
        <v>2.5</v>
      </c>
      <c r="D25" s="15">
        <f t="shared" ref="D25:D48" si="3">SQRT($B$15^2-($C25*100)^2)</f>
        <v>84.82924024</v>
      </c>
      <c r="E25" s="16">
        <f>$B$17*1+$D25*0</f>
        <v>50</v>
      </c>
    </row>
    <row r="26" ht="12.75" customHeight="1">
      <c r="A26" s="12">
        <v>0.05</v>
      </c>
      <c r="B26" s="13">
        <f t="shared" si="1"/>
        <v>44.2</v>
      </c>
      <c r="C26" s="14">
        <f t="shared" si="2"/>
        <v>2.5</v>
      </c>
      <c r="D26" s="16">
        <f t="shared" si="3"/>
        <v>84.82924024</v>
      </c>
      <c r="E26" s="16">
        <f>$B$17*0.8+$D26*0.2</f>
        <v>56.96584805</v>
      </c>
    </row>
    <row r="27" ht="12.75" customHeight="1">
      <c r="A27" s="12">
        <v>0.1</v>
      </c>
      <c r="B27" s="13">
        <f t="shared" si="1"/>
        <v>42.5</v>
      </c>
      <c r="C27" s="14">
        <f t="shared" si="2"/>
        <v>2.476136364</v>
      </c>
      <c r="D27" s="16">
        <f t="shared" si="3"/>
        <v>91.56138426</v>
      </c>
      <c r="E27" s="16">
        <f>$B$17*0.6+$D27*0.4</f>
        <v>66.6245537</v>
      </c>
    </row>
    <row r="28" ht="12.75" customHeight="1">
      <c r="A28" s="12">
        <v>0.15</v>
      </c>
      <c r="B28" s="13">
        <f t="shared" si="1"/>
        <v>40.8</v>
      </c>
      <c r="C28" s="14">
        <f t="shared" si="2"/>
        <v>2.449090909</v>
      </c>
      <c r="D28" s="16">
        <f t="shared" si="3"/>
        <v>98.56742459</v>
      </c>
      <c r="E28" s="16">
        <f>$B$17*0.4+$D28*0.6</f>
        <v>79.14045475</v>
      </c>
    </row>
    <row r="29" ht="12.75" customHeight="1">
      <c r="A29" s="12">
        <v>0.2</v>
      </c>
      <c r="B29" s="13">
        <f t="shared" si="1"/>
        <v>39.1</v>
      </c>
      <c r="C29" s="14">
        <f t="shared" si="2"/>
        <v>2.422045455</v>
      </c>
      <c r="D29" s="16">
        <f t="shared" si="3"/>
        <v>105.0378892</v>
      </c>
      <c r="E29" s="16">
        <f>$B$17*0.2+$D29*0.8</f>
        <v>94.03031134</v>
      </c>
    </row>
    <row r="30" ht="12.75" customHeight="1">
      <c r="A30" s="12">
        <v>0.25</v>
      </c>
      <c r="B30" s="13">
        <f t="shared" si="1"/>
        <v>37.4</v>
      </c>
      <c r="C30" s="14">
        <f t="shared" si="2"/>
        <v>2.395</v>
      </c>
      <c r="D30" s="16">
        <f t="shared" si="3"/>
        <v>111.0664216</v>
      </c>
      <c r="E30" s="16">
        <f>$B$17*0.1+$D30*0.9</f>
        <v>104.9597794</v>
      </c>
    </row>
    <row r="31" ht="12.75" customHeight="1">
      <c r="A31" s="12">
        <v>0.3</v>
      </c>
      <c r="B31" s="13">
        <f t="shared" si="1"/>
        <v>35.7</v>
      </c>
      <c r="C31" s="14">
        <f t="shared" si="2"/>
        <v>2.367954545</v>
      </c>
      <c r="D31" s="16">
        <f t="shared" si="3"/>
        <v>116.7215178</v>
      </c>
      <c r="E31" s="16">
        <f>$B$17*0.05+$D31*0.95</f>
        <v>113.3854419</v>
      </c>
    </row>
    <row r="32" ht="12.75" customHeight="1">
      <c r="A32" s="12">
        <v>0.35</v>
      </c>
      <c r="B32" s="13">
        <f t="shared" si="1"/>
        <v>34</v>
      </c>
      <c r="C32" s="14">
        <f t="shared" si="2"/>
        <v>2.340909091</v>
      </c>
      <c r="D32" s="16">
        <f t="shared" si="3"/>
        <v>122.0550953</v>
      </c>
      <c r="E32" s="16">
        <f t="shared" ref="E32:E48" si="4">IF($B$16&lt;$D32,$B$16,$D32)</f>
        <v>122.0550953</v>
      </c>
    </row>
    <row r="33" ht="12.75" customHeight="1">
      <c r="A33" s="12">
        <v>0.4</v>
      </c>
      <c r="B33" s="13">
        <f t="shared" si="1"/>
        <v>32.3</v>
      </c>
      <c r="C33" s="14">
        <f t="shared" si="2"/>
        <v>2.313863636</v>
      </c>
      <c r="D33" s="16">
        <f t="shared" si="3"/>
        <v>127.1076344</v>
      </c>
      <c r="E33" s="16">
        <f t="shared" si="4"/>
        <v>127.1076344</v>
      </c>
    </row>
    <row r="34" ht="12.75" customHeight="1">
      <c r="A34" s="12">
        <v>0.45</v>
      </c>
      <c r="B34" s="13">
        <f t="shared" si="1"/>
        <v>30.6</v>
      </c>
      <c r="C34" s="14">
        <f t="shared" si="2"/>
        <v>2.286818182</v>
      </c>
      <c r="D34" s="16">
        <f t="shared" si="3"/>
        <v>131.9114325</v>
      </c>
      <c r="E34" s="16">
        <f t="shared" si="4"/>
        <v>131.9114325</v>
      </c>
    </row>
    <row r="35" ht="12.75" customHeight="1">
      <c r="A35" s="12">
        <v>0.5</v>
      </c>
      <c r="B35" s="13">
        <f t="shared" si="1"/>
        <v>28.9</v>
      </c>
      <c r="C35" s="14">
        <f t="shared" si="2"/>
        <v>2.259772727</v>
      </c>
      <c r="D35" s="16">
        <f t="shared" si="3"/>
        <v>136.4927552</v>
      </c>
      <c r="E35" s="16">
        <f t="shared" si="4"/>
        <v>136.4927552</v>
      </c>
    </row>
    <row r="36" ht="12.75" customHeight="1">
      <c r="A36" s="12">
        <v>0.55</v>
      </c>
      <c r="B36" s="13">
        <f t="shared" si="1"/>
        <v>27.2</v>
      </c>
      <c r="C36" s="14">
        <f t="shared" si="2"/>
        <v>2.232727273</v>
      </c>
      <c r="D36" s="16">
        <f t="shared" si="3"/>
        <v>140.8733092</v>
      </c>
      <c r="E36" s="16">
        <f t="shared" si="4"/>
        <v>140.8733092</v>
      </c>
    </row>
    <row r="37" ht="12.75" customHeight="1">
      <c r="A37" s="12">
        <v>0.6</v>
      </c>
      <c r="B37" s="13">
        <f t="shared" si="1"/>
        <v>25.5</v>
      </c>
      <c r="C37" s="14">
        <f t="shared" si="2"/>
        <v>2.205681818</v>
      </c>
      <c r="D37" s="16">
        <f t="shared" si="3"/>
        <v>145.0712831</v>
      </c>
      <c r="E37" s="16">
        <f t="shared" si="4"/>
        <v>145.0712831</v>
      </c>
    </row>
    <row r="38" ht="12.75" customHeight="1">
      <c r="A38" s="12">
        <v>0.65</v>
      </c>
      <c r="B38" s="13">
        <f t="shared" si="1"/>
        <v>23.8</v>
      </c>
      <c r="C38" s="14">
        <f t="shared" si="2"/>
        <v>2.178636364</v>
      </c>
      <c r="D38" s="16">
        <f t="shared" si="3"/>
        <v>149.1020991</v>
      </c>
      <c r="E38" s="16">
        <f t="shared" si="4"/>
        <v>149.1020991</v>
      </c>
    </row>
    <row r="39" ht="12.75" customHeight="1">
      <c r="A39" s="12">
        <v>0.7</v>
      </c>
      <c r="B39" s="13">
        <f t="shared" si="1"/>
        <v>22.1</v>
      </c>
      <c r="C39" s="14">
        <f t="shared" si="2"/>
        <v>2.151590909</v>
      </c>
      <c r="D39" s="16">
        <f t="shared" si="3"/>
        <v>152.9789711</v>
      </c>
      <c r="E39" s="16">
        <f t="shared" si="4"/>
        <v>152.9789711</v>
      </c>
    </row>
    <row r="40" ht="12.75" customHeight="1">
      <c r="A40" s="12">
        <v>0.75</v>
      </c>
      <c r="B40" s="13">
        <f t="shared" si="1"/>
        <v>20.4</v>
      </c>
      <c r="C40" s="14">
        <f t="shared" si="2"/>
        <v>2.124545455</v>
      </c>
      <c r="D40" s="16">
        <f t="shared" si="3"/>
        <v>156.7133246</v>
      </c>
      <c r="E40" s="16">
        <f t="shared" si="4"/>
        <v>156.7133246</v>
      </c>
    </row>
    <row r="41" ht="12.75" customHeight="1">
      <c r="A41" s="12">
        <v>0.8</v>
      </c>
      <c r="B41" s="13">
        <f t="shared" si="1"/>
        <v>18.7</v>
      </c>
      <c r="C41" s="14">
        <f t="shared" si="2"/>
        <v>2.0975</v>
      </c>
      <c r="D41" s="16">
        <f t="shared" si="3"/>
        <v>160.3151194</v>
      </c>
      <c r="E41" s="16">
        <f t="shared" si="4"/>
        <v>160.3151194</v>
      </c>
    </row>
    <row r="42" ht="12.75" customHeight="1">
      <c r="A42" s="12">
        <v>0.85</v>
      </c>
      <c r="B42" s="13">
        <f t="shared" si="1"/>
        <v>17</v>
      </c>
      <c r="C42" s="14">
        <f t="shared" si="2"/>
        <v>2.070454545</v>
      </c>
      <c r="D42" s="16">
        <f t="shared" si="3"/>
        <v>163.7931004</v>
      </c>
      <c r="E42" s="16">
        <f t="shared" si="4"/>
        <v>163.7931004</v>
      </c>
    </row>
    <row r="43" ht="12.75" customHeight="1">
      <c r="A43" s="12">
        <v>0.9</v>
      </c>
      <c r="B43" s="13">
        <f t="shared" si="1"/>
        <v>15.3</v>
      </c>
      <c r="C43" s="14">
        <f t="shared" si="2"/>
        <v>2.043409091</v>
      </c>
      <c r="D43" s="16">
        <f t="shared" si="3"/>
        <v>167.1549966</v>
      </c>
      <c r="E43" s="16">
        <f t="shared" si="4"/>
        <v>167.1549966</v>
      </c>
    </row>
    <row r="44" ht="12.75" customHeight="1">
      <c r="A44" s="12">
        <v>0.95</v>
      </c>
      <c r="B44" s="13">
        <f t="shared" si="1"/>
        <v>13.6</v>
      </c>
      <c r="C44" s="14">
        <f t="shared" si="2"/>
        <v>2.016363636</v>
      </c>
      <c r="D44" s="16">
        <f t="shared" si="3"/>
        <v>170.4076784</v>
      </c>
      <c r="E44" s="16">
        <f t="shared" si="4"/>
        <v>170</v>
      </c>
    </row>
    <row r="45" ht="12.75" customHeight="1">
      <c r="A45" s="12">
        <v>1.0</v>
      </c>
      <c r="B45" s="13">
        <f t="shared" si="1"/>
        <v>11.9</v>
      </c>
      <c r="C45" s="14">
        <f t="shared" si="2"/>
        <v>1.989318182</v>
      </c>
      <c r="D45" s="16">
        <f t="shared" si="3"/>
        <v>173.5572866</v>
      </c>
      <c r="E45" s="16">
        <f t="shared" si="4"/>
        <v>170</v>
      </c>
    </row>
    <row r="46" ht="12.75" customHeight="1">
      <c r="A46" s="12">
        <v>1.05</v>
      </c>
      <c r="B46" s="13">
        <f t="shared" si="1"/>
        <v>10.2</v>
      </c>
      <c r="C46" s="14">
        <f t="shared" si="2"/>
        <v>1.962272727</v>
      </c>
      <c r="D46" s="16">
        <f t="shared" si="3"/>
        <v>176.6093356</v>
      </c>
      <c r="E46" s="16">
        <f t="shared" si="4"/>
        <v>170</v>
      </c>
    </row>
    <row r="47" ht="12.75" customHeight="1">
      <c r="A47" s="12">
        <v>1.1</v>
      </c>
      <c r="B47" s="13">
        <f t="shared" si="1"/>
        <v>8.5</v>
      </c>
      <c r="C47" s="14">
        <f t="shared" si="2"/>
        <v>1.935227273</v>
      </c>
      <c r="D47" s="16">
        <f t="shared" si="3"/>
        <v>179.5688003</v>
      </c>
      <c r="E47" s="16">
        <f t="shared" si="4"/>
        <v>170</v>
      </c>
    </row>
    <row r="48" ht="12.75" customHeight="1">
      <c r="A48" s="12">
        <v>1.15</v>
      </c>
      <c r="B48" s="13">
        <f t="shared" si="1"/>
        <v>6.8</v>
      </c>
      <c r="C48" s="14">
        <f t="shared" si="2"/>
        <v>1.908181818</v>
      </c>
      <c r="D48" s="16">
        <f t="shared" si="3"/>
        <v>182.4401861</v>
      </c>
      <c r="E48" s="16">
        <f t="shared" si="4"/>
        <v>170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25"/>
    <col customWidth="1" min="2" max="2" width="18.38"/>
    <col customWidth="1" min="3" max="3" width="15.88"/>
    <col customWidth="1" min="4" max="5" width="11.63"/>
    <col customWidth="1" min="6" max="6" width="11.5"/>
    <col customWidth="1" min="7" max="26" width="8.63"/>
  </cols>
  <sheetData>
    <row r="1" ht="12.75" customHeight="1">
      <c r="A1" s="2" t="s">
        <v>143</v>
      </c>
      <c r="B1" s="8" t="str">
        <f>Chart!$B$9</f>
        <v>U16</v>
      </c>
    </row>
    <row r="2" ht="12.75" customHeight="1">
      <c r="A2" s="2" t="s">
        <v>144</v>
      </c>
      <c r="B2" s="9">
        <f>Chart!$D$9</f>
        <v>32</v>
      </c>
    </row>
    <row r="3" ht="12.75" customHeight="1">
      <c r="A3" s="2" t="s">
        <v>145</v>
      </c>
      <c r="B3" s="9">
        <f>Chart!$C$9</f>
        <v>2</v>
      </c>
    </row>
    <row r="4" ht="12.75" customHeight="1">
      <c r="A4" s="2" t="s">
        <v>146</v>
      </c>
      <c r="B4" s="10">
        <v>1.2</v>
      </c>
    </row>
    <row r="5" ht="12.75" customHeight="1">
      <c r="A5" s="2" t="s">
        <v>147</v>
      </c>
      <c r="B5" s="10">
        <v>26.4</v>
      </c>
    </row>
    <row r="6" ht="12.75" customHeight="1">
      <c r="A6" s="2" t="s">
        <v>148</v>
      </c>
      <c r="B6" s="6">
        <f>LOOKUP(LEFT(Chart!$B$9,1),'Needle Data'!$J2:$J3,'Needle Data'!$K2:$K3)</f>
        <v>68</v>
      </c>
    </row>
    <row r="7" ht="12.75" customHeight="1">
      <c r="A7" s="2" t="s">
        <v>149</v>
      </c>
      <c r="B7" s="11">
        <f>$B$6 - $B$5 - ($B$3-1)*$B$4 + $B$18 + ($B$2 - 34)/2</f>
        <v>41.4</v>
      </c>
    </row>
    <row r="8" ht="12.75" customHeight="1">
      <c r="A8" s="2" t="s">
        <v>22</v>
      </c>
      <c r="B8" s="6">
        <f>VLOOKUP($B$1,'Needle Data'!$A$2:$G$113,2,0)</f>
        <v>2.5</v>
      </c>
    </row>
    <row r="9" ht="12.75" customHeight="1">
      <c r="A9" s="2" t="s">
        <v>23</v>
      </c>
      <c r="B9" s="6">
        <f>VLOOKUP($B$1,'Needle Data'!$A$2:$G$113,3,0)</f>
        <v>1.8</v>
      </c>
    </row>
    <row r="10" ht="12.75" customHeight="1">
      <c r="A10" s="2" t="s">
        <v>24</v>
      </c>
      <c r="B10" s="6">
        <f>VLOOKUP($B$1,'Needle Data'!$A$2:$G$113,4,0)</f>
        <v>32</v>
      </c>
    </row>
    <row r="11" ht="12.75" customHeight="1">
      <c r="A11" s="2" t="s">
        <v>25</v>
      </c>
      <c r="B11" s="6" t="str">
        <f>VLOOKUP($B$1,'Needle Data'!$A$2:$G$113,5,0)</f>
        <v/>
      </c>
    </row>
    <row r="12" ht="12.75" customHeight="1">
      <c r="A12" s="2" t="s">
        <v>26</v>
      </c>
      <c r="B12" s="6" t="str">
        <f>VLOOKUP($B$1,'Needle Data'!$A$2:$G$113,6,0)</f>
        <v/>
      </c>
    </row>
    <row r="13" ht="12.75" customHeight="1">
      <c r="A13" s="2" t="s">
        <v>27</v>
      </c>
      <c r="B13" s="6" t="str">
        <f>VLOOKUP($B$1,'Needle Data'!$A$2:$G$113,7,0)</f>
        <v/>
      </c>
    </row>
    <row r="14" ht="12.75" customHeight="1">
      <c r="A14" s="2" t="s">
        <v>150</v>
      </c>
      <c r="B14" s="6">
        <f>IF($B$13,3,IF($B$12,2,1))</f>
        <v>1</v>
      </c>
    </row>
    <row r="15" ht="12.75" customHeight="1">
      <c r="A15" s="2" t="s">
        <v>6</v>
      </c>
      <c r="B15" s="6">
        <f>Chart!$E$9</f>
        <v>262</v>
      </c>
    </row>
    <row r="16" ht="12.75" customHeight="1">
      <c r="A16" s="2" t="s">
        <v>10</v>
      </c>
      <c r="B16" s="6">
        <f>Chart!$I$9</f>
        <v>150</v>
      </c>
    </row>
    <row r="17" ht="12.75" customHeight="1">
      <c r="A17" s="2" t="s">
        <v>9</v>
      </c>
      <c r="B17" s="6">
        <f>Chart!$H$9</f>
        <v>44</v>
      </c>
    </row>
    <row r="18" ht="12.75" customHeight="1">
      <c r="A18" s="2" t="s">
        <v>151</v>
      </c>
      <c r="B18" s="11">
        <f>LOOKUP(Chart!$F$9,'Needle Data'!$M2:$M4,'Needle Data'!$N2:$N4)</f>
        <v>2</v>
      </c>
    </row>
    <row r="19" ht="12.75" customHeight="1"/>
    <row r="20" ht="12.75" customHeight="1">
      <c r="A20" s="3" t="s">
        <v>152</v>
      </c>
      <c r="B20" s="3" t="s">
        <v>153</v>
      </c>
      <c r="C20" s="3" t="s">
        <v>25</v>
      </c>
    </row>
    <row r="21" ht="12.75" customHeight="1">
      <c r="A21" s="3">
        <v>1.0</v>
      </c>
      <c r="B21" s="4">
        <f>IF(B$14=1,(B$8-B$9)/B$10,(B$8-B$11)/(B$10-B$12))</f>
        <v>0.021875</v>
      </c>
      <c r="C21" s="4">
        <f>IF(B$14=1,B$9,B$11)</f>
        <v>1.8</v>
      </c>
    </row>
    <row r="22" ht="12.75" customHeight="1">
      <c r="A22" s="3">
        <v>2.0</v>
      </c>
      <c r="B22" s="4">
        <f>IF(B$14=1,0,(B$11-B$9)/(B$12-B$13))</f>
        <v>0</v>
      </c>
      <c r="C22" s="4">
        <f>IF(B$14=1,0,B$9)</f>
        <v>0</v>
      </c>
    </row>
    <row r="23" ht="12.75" customHeight="1"/>
    <row r="24" ht="12.75" customHeight="1">
      <c r="A24" s="3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</row>
    <row r="25" ht="12.75" customHeight="1">
      <c r="A25" s="12">
        <v>0.0</v>
      </c>
      <c r="B25" s="13">
        <f t="shared" ref="B25:B48" si="1">$B$7-$A25*$B$2</f>
        <v>41.4</v>
      </c>
      <c r="C25" s="14">
        <f t="shared" ref="C25:C48" si="2">IF($B25&gt;B$10,B$8,IF($B25&lt;0,0,IF($B25&lt;B$13,B$9,IF($B25&lt;=B$12,B$22*($B25-B$13)+B$9,B$21*($B25-B$12)+C$21))))</f>
        <v>2.5</v>
      </c>
      <c r="D25" s="15">
        <f t="shared" ref="D25:D48" si="3">SQRT($B$15^2-($C25*100)^2)</f>
        <v>78.38367177</v>
      </c>
      <c r="E25" s="16">
        <f>$B$17*1+$D25*0</f>
        <v>44</v>
      </c>
    </row>
    <row r="26" ht="12.75" customHeight="1">
      <c r="A26" s="12">
        <v>0.05</v>
      </c>
      <c r="B26" s="13">
        <f t="shared" si="1"/>
        <v>39.8</v>
      </c>
      <c r="C26" s="14">
        <f t="shared" si="2"/>
        <v>2.5</v>
      </c>
      <c r="D26" s="16">
        <f t="shared" si="3"/>
        <v>78.38367177</v>
      </c>
      <c r="E26" s="16">
        <f>$B$17*0.8+$D26*0.2</f>
        <v>50.87673435</v>
      </c>
    </row>
    <row r="27" ht="12.75" customHeight="1">
      <c r="A27" s="12">
        <v>0.1</v>
      </c>
      <c r="B27" s="13">
        <f t="shared" si="1"/>
        <v>38.2</v>
      </c>
      <c r="C27" s="14">
        <f t="shared" si="2"/>
        <v>2.5</v>
      </c>
      <c r="D27" s="16">
        <f t="shared" si="3"/>
        <v>78.38367177</v>
      </c>
      <c r="E27" s="16">
        <f>$B$17*0.6+$D27*0.4</f>
        <v>57.75346871</v>
      </c>
    </row>
    <row r="28" ht="12.75" customHeight="1">
      <c r="A28" s="12">
        <v>0.15</v>
      </c>
      <c r="B28" s="13">
        <f t="shared" si="1"/>
        <v>36.6</v>
      </c>
      <c r="C28" s="14">
        <f t="shared" si="2"/>
        <v>2.5</v>
      </c>
      <c r="D28" s="16">
        <f t="shared" si="3"/>
        <v>78.38367177</v>
      </c>
      <c r="E28" s="16">
        <f>$B$17*0.4+$D28*0.6</f>
        <v>64.63020306</v>
      </c>
    </row>
    <row r="29" ht="12.75" customHeight="1">
      <c r="A29" s="12">
        <v>0.2</v>
      </c>
      <c r="B29" s="13">
        <f t="shared" si="1"/>
        <v>35</v>
      </c>
      <c r="C29" s="14">
        <f t="shared" si="2"/>
        <v>2.5</v>
      </c>
      <c r="D29" s="16">
        <f t="shared" si="3"/>
        <v>78.38367177</v>
      </c>
      <c r="E29" s="16">
        <f>$B$17*0.2+$D29*0.8</f>
        <v>71.50693742</v>
      </c>
    </row>
    <row r="30" ht="12.75" customHeight="1">
      <c r="A30" s="12">
        <v>0.25</v>
      </c>
      <c r="B30" s="13">
        <f t="shared" si="1"/>
        <v>33.4</v>
      </c>
      <c r="C30" s="14">
        <f t="shared" si="2"/>
        <v>2.5</v>
      </c>
      <c r="D30" s="16">
        <f t="shared" si="3"/>
        <v>78.38367177</v>
      </c>
      <c r="E30" s="16">
        <f>$B$17*0.1+$D30*0.9</f>
        <v>74.94530459</v>
      </c>
    </row>
    <row r="31" ht="12.75" customHeight="1">
      <c r="A31" s="12">
        <v>0.3</v>
      </c>
      <c r="B31" s="13">
        <f t="shared" si="1"/>
        <v>31.8</v>
      </c>
      <c r="C31" s="14">
        <f t="shared" si="2"/>
        <v>2.495625</v>
      </c>
      <c r="D31" s="16">
        <f t="shared" si="3"/>
        <v>79.76564796</v>
      </c>
      <c r="E31" s="16">
        <f>$B$17*0.05+$D31*0.95</f>
        <v>77.97736556</v>
      </c>
    </row>
    <row r="32" ht="12.75" customHeight="1">
      <c r="A32" s="12">
        <v>0.35</v>
      </c>
      <c r="B32" s="13">
        <f t="shared" si="1"/>
        <v>30.2</v>
      </c>
      <c r="C32" s="14">
        <f t="shared" si="2"/>
        <v>2.460625</v>
      </c>
      <c r="D32" s="16">
        <f t="shared" si="3"/>
        <v>89.98469922</v>
      </c>
      <c r="E32" s="16">
        <f t="shared" ref="E32:E48" si="4">IF($B$16&lt;$D32,$B$16,$D32)</f>
        <v>89.98469922</v>
      </c>
    </row>
    <row r="33" ht="12.75" customHeight="1">
      <c r="A33" s="12">
        <v>0.4</v>
      </c>
      <c r="B33" s="13">
        <f t="shared" si="1"/>
        <v>28.6</v>
      </c>
      <c r="C33" s="14">
        <f t="shared" si="2"/>
        <v>2.425625</v>
      </c>
      <c r="D33" s="16">
        <f t="shared" si="3"/>
        <v>99.03248757</v>
      </c>
      <c r="E33" s="16">
        <f t="shared" si="4"/>
        <v>99.03248757</v>
      </c>
    </row>
    <row r="34" ht="12.75" customHeight="1">
      <c r="A34" s="12">
        <v>0.45</v>
      </c>
      <c r="B34" s="13">
        <f t="shared" si="1"/>
        <v>27</v>
      </c>
      <c r="C34" s="14">
        <f t="shared" si="2"/>
        <v>2.390625</v>
      </c>
      <c r="D34" s="16">
        <f t="shared" si="3"/>
        <v>107.2059751</v>
      </c>
      <c r="E34" s="16">
        <f t="shared" si="4"/>
        <v>107.2059751</v>
      </c>
    </row>
    <row r="35" ht="12.75" customHeight="1">
      <c r="A35" s="12">
        <v>0.5</v>
      </c>
      <c r="B35" s="13">
        <f t="shared" si="1"/>
        <v>25.4</v>
      </c>
      <c r="C35" s="14">
        <f t="shared" si="2"/>
        <v>2.355625</v>
      </c>
      <c r="D35" s="16">
        <f t="shared" si="3"/>
        <v>114.6922342</v>
      </c>
      <c r="E35" s="16">
        <f t="shared" si="4"/>
        <v>114.6922342</v>
      </c>
    </row>
    <row r="36" ht="12.75" customHeight="1">
      <c r="A36" s="12">
        <v>0.55</v>
      </c>
      <c r="B36" s="13">
        <f t="shared" si="1"/>
        <v>23.8</v>
      </c>
      <c r="C36" s="14">
        <f t="shared" si="2"/>
        <v>2.320625</v>
      </c>
      <c r="D36" s="16">
        <f t="shared" si="3"/>
        <v>121.6182391</v>
      </c>
      <c r="E36" s="16">
        <f t="shared" si="4"/>
        <v>121.6182391</v>
      </c>
    </row>
    <row r="37" ht="12.75" customHeight="1">
      <c r="A37" s="12">
        <v>0.6</v>
      </c>
      <c r="B37" s="13">
        <f t="shared" si="1"/>
        <v>22.2</v>
      </c>
      <c r="C37" s="14">
        <f t="shared" si="2"/>
        <v>2.285625</v>
      </c>
      <c r="D37" s="16">
        <f t="shared" si="3"/>
        <v>128.074914</v>
      </c>
      <c r="E37" s="16">
        <f t="shared" si="4"/>
        <v>128.074914</v>
      </c>
    </row>
    <row r="38" ht="12.75" customHeight="1">
      <c r="A38" s="12">
        <v>0.65</v>
      </c>
      <c r="B38" s="13">
        <f t="shared" si="1"/>
        <v>20.6</v>
      </c>
      <c r="C38" s="14">
        <f t="shared" si="2"/>
        <v>2.250625</v>
      </c>
      <c r="D38" s="16">
        <f t="shared" si="3"/>
        <v>134.1300529</v>
      </c>
      <c r="E38" s="16">
        <f t="shared" si="4"/>
        <v>134.1300529</v>
      </c>
    </row>
    <row r="39" ht="12.75" customHeight="1">
      <c r="A39" s="12">
        <v>0.7</v>
      </c>
      <c r="B39" s="13">
        <f t="shared" si="1"/>
        <v>19</v>
      </c>
      <c r="C39" s="14">
        <f t="shared" si="2"/>
        <v>2.215625</v>
      </c>
      <c r="D39" s="16">
        <f t="shared" si="3"/>
        <v>139.8358273</v>
      </c>
      <c r="E39" s="16">
        <f t="shared" si="4"/>
        <v>139.8358273</v>
      </c>
    </row>
    <row r="40" ht="12.75" customHeight="1">
      <c r="A40" s="12">
        <v>0.75</v>
      </c>
      <c r="B40" s="13">
        <f t="shared" si="1"/>
        <v>17.4</v>
      </c>
      <c r="C40" s="14">
        <f t="shared" si="2"/>
        <v>2.180625</v>
      </c>
      <c r="D40" s="16">
        <f t="shared" si="3"/>
        <v>145.2334193</v>
      </c>
      <c r="E40" s="16">
        <f t="shared" si="4"/>
        <v>145.2334193</v>
      </c>
    </row>
    <row r="41" ht="12.75" customHeight="1">
      <c r="A41" s="12">
        <v>0.8</v>
      </c>
      <c r="B41" s="13">
        <f t="shared" si="1"/>
        <v>15.8</v>
      </c>
      <c r="C41" s="14">
        <f t="shared" si="2"/>
        <v>2.145625</v>
      </c>
      <c r="D41" s="16">
        <f t="shared" si="3"/>
        <v>150.3560228</v>
      </c>
      <c r="E41" s="16">
        <f t="shared" si="4"/>
        <v>150</v>
      </c>
    </row>
    <row r="42" ht="12.75" customHeight="1">
      <c r="A42" s="12">
        <v>0.85</v>
      </c>
      <c r="B42" s="13">
        <f t="shared" si="1"/>
        <v>14.2</v>
      </c>
      <c r="C42" s="14">
        <f t="shared" si="2"/>
        <v>2.110625</v>
      </c>
      <c r="D42" s="16">
        <f t="shared" si="3"/>
        <v>155.2308639</v>
      </c>
      <c r="E42" s="16">
        <f t="shared" si="4"/>
        <v>150</v>
      </c>
    </row>
    <row r="43" ht="12.75" customHeight="1">
      <c r="A43" s="12">
        <v>0.9</v>
      </c>
      <c r="B43" s="13">
        <f t="shared" si="1"/>
        <v>12.6</v>
      </c>
      <c r="C43" s="14">
        <f t="shared" si="2"/>
        <v>2.075625</v>
      </c>
      <c r="D43" s="16">
        <f t="shared" si="3"/>
        <v>159.8806073</v>
      </c>
      <c r="E43" s="16">
        <f t="shared" si="4"/>
        <v>150</v>
      </c>
    </row>
    <row r="44" ht="12.75" customHeight="1">
      <c r="A44" s="12">
        <v>0.95</v>
      </c>
      <c r="B44" s="13">
        <f t="shared" si="1"/>
        <v>11</v>
      </c>
      <c r="C44" s="14">
        <f t="shared" si="2"/>
        <v>2.040625</v>
      </c>
      <c r="D44" s="16">
        <f t="shared" si="3"/>
        <v>164.3243624</v>
      </c>
      <c r="E44" s="16">
        <f t="shared" si="4"/>
        <v>150</v>
      </c>
    </row>
    <row r="45" ht="12.75" customHeight="1">
      <c r="A45" s="12">
        <v>1.0</v>
      </c>
      <c r="B45" s="13">
        <f t="shared" si="1"/>
        <v>9.4</v>
      </c>
      <c r="C45" s="14">
        <f t="shared" si="2"/>
        <v>2.005625</v>
      </c>
      <c r="D45" s="16">
        <f t="shared" si="3"/>
        <v>168.5784197</v>
      </c>
      <c r="E45" s="16">
        <f t="shared" si="4"/>
        <v>150</v>
      </c>
    </row>
    <row r="46" ht="12.75" customHeight="1">
      <c r="A46" s="12">
        <v>1.05</v>
      </c>
      <c r="B46" s="13">
        <f t="shared" si="1"/>
        <v>7.8</v>
      </c>
      <c r="C46" s="14">
        <f t="shared" si="2"/>
        <v>1.970625</v>
      </c>
      <c r="D46" s="16">
        <f t="shared" si="3"/>
        <v>172.6568015</v>
      </c>
      <c r="E46" s="16">
        <f t="shared" si="4"/>
        <v>150</v>
      </c>
    </row>
    <row r="47" ht="12.75" customHeight="1">
      <c r="A47" s="12">
        <v>1.1</v>
      </c>
      <c r="B47" s="13">
        <f t="shared" si="1"/>
        <v>6.2</v>
      </c>
      <c r="C47" s="14">
        <f t="shared" si="2"/>
        <v>1.935625</v>
      </c>
      <c r="D47" s="16">
        <f t="shared" si="3"/>
        <v>176.5716812</v>
      </c>
      <c r="E47" s="16">
        <f t="shared" si="4"/>
        <v>150</v>
      </c>
    </row>
    <row r="48" ht="12.75" customHeight="1">
      <c r="A48" s="12">
        <v>1.15</v>
      </c>
      <c r="B48" s="13">
        <f t="shared" si="1"/>
        <v>4.6</v>
      </c>
      <c r="C48" s="14">
        <f t="shared" si="2"/>
        <v>1.900625</v>
      </c>
      <c r="D48" s="16">
        <f t="shared" si="3"/>
        <v>180.3337076</v>
      </c>
      <c r="E48" s="16">
        <f t="shared" si="4"/>
        <v>150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